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W" sheetId="1" r:id="rId4"/>
    <sheet state="visible" name="DW" sheetId="2" r:id="rId5"/>
    <sheet state="visible" name="System" sheetId="3" r:id="rId6"/>
  </sheets>
  <definedNames>
    <definedName localSheetId="1" name="Foil">Targets_DW[[#Headers],[Foil]]</definedName>
    <definedName name="Foil">Targets_UW[[#Headers],[Foil]]</definedName>
    <definedName localSheetId="1" name="Rudder">Targets_DW[[#Headers],[Rudder]]</definedName>
    <definedName name="Rudder">Targets_UW[[#Headers],[Rudder]]</definedName>
    <definedName localSheetId="1" name="State">Targets_DW[[#Headers],[State]]</definedName>
    <definedName name="State">Targets_UW[[#Headers],[State]]</definedName>
    <definedName localSheetId="1" name="Wing">Targets_DW[[#Headers],[Wing]]</definedName>
    <definedName name="Wing">Targets_UW[[#Headers],[Wing]]</definedName>
  </definedNames>
  <calcPr/>
  <extLst>
    <ext uri="GoogleSheetsCustomDataVersion2">
      <go:sheetsCustomData xmlns:go="http://customooxmlschemas.google.com/" r:id="rId7" roundtripDataChecksum="oVsJg3AzcPwV1m8XCCZtH0TCyUmS+TsntFnQq8yTp1k="/>
    </ext>
  </extLst>
</workbook>
</file>

<file path=xl/sharedStrings.xml><?xml version="1.0" encoding="utf-8"?>
<sst xmlns="http://schemas.openxmlformats.org/spreadsheetml/2006/main" count="694" uniqueCount="62">
  <si>
    <t xml:space="preserve"> </t>
  </si>
  <si>
    <t>Foil</t>
  </si>
  <si>
    <t>Rudder</t>
  </si>
  <si>
    <t>Wing</t>
  </si>
  <si>
    <t>Config</t>
  </si>
  <si>
    <t>TWS (km/h)</t>
  </si>
  <si>
    <t>VMG (km/h)</t>
  </si>
  <si>
    <t>BSP (km/h)</t>
  </si>
  <si>
    <t>TWA (deg)</t>
  </si>
  <si>
    <t>LEEWAY (deg)</t>
  </si>
  <si>
    <t>CANT (deg)</t>
  </si>
  <si>
    <t>HEEL (deg)</t>
  </si>
  <si>
    <t>EFF CANT (deg)</t>
  </si>
  <si>
    <t>RH LW (mm)</t>
  </si>
  <si>
    <t>DIFF (deg)</t>
  </si>
  <si>
    <t>AVG (deg)</t>
  </si>
  <si>
    <t>PITCH (deg)</t>
  </si>
  <si>
    <t>CA1 (deg)</t>
  </si>
  <si>
    <t>ROT (deg)</t>
  </si>
  <si>
    <t>CLEW (deg)</t>
  </si>
  <si>
    <t>TWIST (deg)</t>
  </si>
  <si>
    <t>CUNNO (kgf)</t>
  </si>
  <si>
    <t>JibLead (deg)</t>
  </si>
  <si>
    <t>JibSheet (kgf)</t>
  </si>
  <si>
    <t>AWS</t>
  </si>
  <si>
    <t>AWA+Leeway</t>
  </si>
  <si>
    <t>AWA-E1</t>
  </si>
  <si>
    <t>TWSTop</t>
  </si>
  <si>
    <t>AWSTop</t>
  </si>
  <si>
    <t>AWA+Leeway Top</t>
  </si>
  <si>
    <t>AWATop-E1</t>
  </si>
  <si>
    <t>CA6</t>
  </si>
  <si>
    <t>AWATop - CA6</t>
  </si>
  <si>
    <t>AWA-JibLead</t>
  </si>
  <si>
    <t>Foiling</t>
  </si>
  <si>
    <t>HSB2</t>
  </si>
  <si>
    <t>HSRW2</t>
  </si>
  <si>
    <t>LARW2</t>
  </si>
  <si>
    <t>LAB2</t>
  </si>
  <si>
    <t>H2</t>
  </si>
  <si>
    <t>H1-2B</t>
  </si>
  <si>
    <t>H1</t>
  </si>
  <si>
    <t>State</t>
  </si>
  <si>
    <t>Tack</t>
  </si>
  <si>
    <t>LAW</t>
  </si>
  <si>
    <t>APW</t>
  </si>
  <si>
    <t>HAW</t>
  </si>
  <si>
    <t>Bottom Speed</t>
  </si>
  <si>
    <t>Drop target</t>
  </si>
  <si>
    <t>TWS</t>
  </si>
  <si>
    <t>Clew Land</t>
  </si>
  <si>
    <t>Jib Land</t>
  </si>
  <si>
    <t>BSP Jib</t>
  </si>
  <si>
    <t>Mid Low pod</t>
  </si>
  <si>
    <t>Low pod</t>
  </si>
  <si>
    <t>Mid Low Pod</t>
  </si>
  <si>
    <t>Mid Pod</t>
  </si>
  <si>
    <t>Gybe</t>
  </si>
  <si>
    <t>Drop Target</t>
  </si>
  <si>
    <t>Mid High Pod</t>
  </si>
  <si>
    <t>CL</t>
  </si>
  <si>
    <t>Low Pod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</si>
</sst>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6">
    <font>
      <sz val="11.0"/>
      <color theme="1"/>
      <name val="Aptos Narrow"/>
      <scheme val="minor"/>
    </font>
    <font>
      <color rgb="FFFFFFFF"/>
      <name val="Arial"/>
    </font>
    <font>
      <color rgb="FFFFFFFF"/>
      <name val="Aptos Narrow"/>
      <scheme val="minor"/>
    </font>
    <font>
      <sz val="11.0"/>
      <color theme="1"/>
      <name val="Aptos Narrow"/>
    </font>
    <font>
      <color theme="1"/>
      <name val="Aptos Narrow"/>
      <scheme val="minor"/>
    </font>
    <font/>
  </fonts>
  <fills count="5">
    <fill>
      <patternFill patternType="none"/>
    </fill>
    <fill>
      <patternFill patternType="lightGray"/>
    </fill>
    <fill>
      <patternFill patternType="solid">
        <fgColor rgb="FF84E291"/>
        <bgColor rgb="FF84E291"/>
      </patternFill>
    </fill>
    <fill>
      <patternFill patternType="solid">
        <fgColor rgb="FF95DCF7"/>
        <bgColor rgb="FF95DCF7"/>
      </patternFill>
    </fill>
    <fill>
      <patternFill patternType="solid">
        <fgColor rgb="FFF6C6AC"/>
        <bgColor rgb="FFF6C6AC"/>
      </patternFill>
    </fill>
  </fills>
  <borders count="24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/>
      <right/>
      <top/>
      <bottom/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1" fillId="0" fontId="3" numFmtId="0" xfId="0" applyBorder="1" applyFont="1"/>
    <xf borderId="2" fillId="0" fontId="3" numFmtId="0" xfId="0" applyBorder="1" applyFont="1"/>
    <xf borderId="2" fillId="0" fontId="3" numFmtId="164" xfId="0" applyBorder="1" applyFont="1" applyNumberFormat="1"/>
    <xf borderId="3" fillId="0" fontId="3" numFmtId="164" xfId="0" applyBorder="1" applyFont="1" applyNumberFormat="1"/>
    <xf borderId="0" fillId="0" fontId="3" numFmtId="164" xfId="0" applyFont="1" applyNumberFormat="1"/>
    <xf borderId="4" fillId="0" fontId="3" numFmtId="0" xfId="0" applyBorder="1" applyFont="1"/>
    <xf borderId="0" fillId="0" fontId="4" numFmtId="0" xfId="0" applyFont="1"/>
    <xf borderId="5" fillId="0" fontId="3" numFmtId="164" xfId="0" applyBorder="1" applyFont="1" applyNumberFormat="1"/>
    <xf borderId="6" fillId="0" fontId="3" numFmtId="0" xfId="0" applyBorder="1" applyFont="1"/>
    <xf borderId="7" fillId="0" fontId="3" numFmtId="0" xfId="0" applyBorder="1" applyFont="1"/>
    <xf borderId="7" fillId="0" fontId="3" numFmtId="164" xfId="0" applyBorder="1" applyFont="1" applyNumberFormat="1"/>
    <xf borderId="8" fillId="0" fontId="3" numFmtId="164" xfId="0" applyBorder="1" applyFont="1" applyNumberFormat="1"/>
    <xf borderId="9" fillId="2" fontId="3" numFmtId="0" xfId="0" applyBorder="1" applyFill="1" applyFont="1"/>
    <xf borderId="10" fillId="2" fontId="3" numFmtId="0" xfId="0" applyBorder="1" applyFont="1"/>
    <xf borderId="10" fillId="2" fontId="3" numFmtId="164" xfId="0" applyBorder="1" applyFont="1" applyNumberFormat="1"/>
    <xf borderId="11" fillId="2" fontId="3" numFmtId="164" xfId="0" applyBorder="1" applyFont="1" applyNumberFormat="1"/>
    <xf borderId="12" fillId="2" fontId="3" numFmtId="164" xfId="0" applyBorder="1" applyFont="1" applyNumberFormat="1"/>
    <xf borderId="13" fillId="2" fontId="3" numFmtId="0" xfId="0" applyBorder="1" applyFont="1"/>
    <xf borderId="12" fillId="2" fontId="3" numFmtId="0" xfId="0" applyBorder="1" applyFont="1"/>
    <xf borderId="14" fillId="2" fontId="3" numFmtId="164" xfId="0" applyBorder="1" applyFont="1" applyNumberFormat="1"/>
    <xf borderId="13" fillId="3" fontId="3" numFmtId="0" xfId="0" applyBorder="1" applyFill="1" applyFont="1"/>
    <xf borderId="12" fillId="3" fontId="3" numFmtId="0" xfId="0" applyBorder="1" applyFont="1"/>
    <xf borderId="12" fillId="3" fontId="3" numFmtId="164" xfId="0" applyBorder="1" applyFont="1" applyNumberFormat="1"/>
    <xf borderId="14" fillId="3" fontId="3" numFmtId="164" xfId="0" applyBorder="1" applyFont="1" applyNumberFormat="1"/>
    <xf borderId="13" fillId="4" fontId="3" numFmtId="0" xfId="0" applyBorder="1" applyFill="1" applyFont="1"/>
    <xf borderId="12" fillId="4" fontId="3" numFmtId="0" xfId="0" applyBorder="1" applyFont="1"/>
    <xf borderId="12" fillId="4" fontId="3" numFmtId="164" xfId="0" applyBorder="1" applyFont="1" applyNumberFormat="1"/>
    <xf borderId="14" fillId="4" fontId="3" numFmtId="164" xfId="0" applyBorder="1" applyFont="1" applyNumberFormat="1"/>
    <xf borderId="15" fillId="4" fontId="3" numFmtId="0" xfId="0" applyBorder="1" applyFont="1"/>
    <xf borderId="16" fillId="4" fontId="3" numFmtId="0" xfId="0" applyBorder="1" applyFont="1"/>
    <xf borderId="16" fillId="4" fontId="3" numFmtId="164" xfId="0" applyBorder="1" applyFont="1" applyNumberFormat="1"/>
    <xf borderId="17" fillId="4" fontId="3" numFmtId="164" xfId="0" applyBorder="1" applyFont="1" applyNumberFormat="1"/>
    <xf borderId="18" fillId="0" fontId="3" numFmtId="0" xfId="0" applyAlignment="1" applyBorder="1" applyFont="1">
      <alignment horizontal="center"/>
    </xf>
    <xf borderId="19" fillId="0" fontId="5" numFmtId="0" xfId="0" applyBorder="1" applyFont="1"/>
    <xf borderId="20" fillId="0" fontId="5" numFmtId="0" xfId="0" applyBorder="1" applyFont="1"/>
    <xf borderId="21" fillId="0" fontId="3" numFmtId="0" xfId="0" applyBorder="1" applyFont="1"/>
    <xf borderId="18" fillId="0" fontId="3" numFmtId="0" xfId="0" applyBorder="1" applyFont="1"/>
    <xf borderId="22" fillId="0" fontId="3" numFmtId="0" xfId="0" applyBorder="1" applyFont="1"/>
    <xf borderId="23" fillId="0" fontId="3" numFmtId="0" xfId="0" applyBorder="1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2">
    <tableStyle count="2" pivot="0" name="UW-style">
      <tableStyleElement dxfId="1" type="firstColumnStripe"/>
      <tableStyleElement dxfId="2" type="secondColumnStripe"/>
    </tableStyle>
    <tableStyle count="2" pivot="0" name="DW-style">
      <tableStyleElement dxfId="1" type="firstColumnStripe"/>
      <tableStyleElement dxfId="2" type="secondColumn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v>CLEW (deg)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UW!$F$2:$F$82</c:f>
            </c:numRef>
          </c:xVal>
          <c:yVal>
            <c:numRef>
              <c:f>UW!$T$2:$T$82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5018714"/>
        <c:axId val="1255630132"/>
      </c:scatterChart>
      <c:valAx>
        <c:axId val="202501871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55630132"/>
      </c:valAx>
      <c:valAx>
        <c:axId val="12556301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25018714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v>BSP (km/h)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DW!$F$2:$F$83</c:f>
            </c:numRef>
          </c:xVal>
          <c:yVal>
            <c:numRef>
              <c:f>DW!$H$2:$H$83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1637285"/>
        <c:axId val="1476798054"/>
      </c:scatterChart>
      <c:valAx>
        <c:axId val="88163728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76798054"/>
      </c:valAx>
      <c:valAx>
        <c:axId val="14767980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81637285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Drop target HSB2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v>Drop target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System!$AB$6:$AB$12</c:f>
            </c:numRef>
          </c:xVal>
          <c:yVal>
            <c:numRef>
              <c:f>System!$AC$6:$AC$12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1431103"/>
        <c:axId val="989539517"/>
      </c:scatterChart>
      <c:valAx>
        <c:axId val="271431103"/>
        <c:scaling>
          <c:orientation val="minMax"/>
          <c:min val="3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Bottom Speed (km/h)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89539517"/>
      </c:valAx>
      <c:valAx>
        <c:axId val="9895395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71431103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v>Drop Target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System!$AB$22:$AB$28</c:f>
            </c:numRef>
          </c:xVal>
          <c:yVal>
            <c:numRef>
              <c:f>System!$AC$22:$AC$28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1183386"/>
        <c:axId val="2041878395"/>
      </c:scatterChart>
      <c:valAx>
        <c:axId val="1801183386"/>
        <c:scaling>
          <c:orientation val="minMax"/>
          <c:min val="4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Bottom Speed (km/h)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41878395"/>
      </c:valAx>
      <c:valAx>
        <c:axId val="20418783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01183386"/>
      </c:valAx>
    </c:plotArea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Drop target LAB2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v>Drop target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System!$AL$6:$AL$10</c:f>
            </c:numRef>
          </c:xVal>
          <c:yVal>
            <c:numRef>
              <c:f>System!$AM$6:$AM$10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4629847"/>
        <c:axId val="1394927222"/>
      </c:scatterChart>
      <c:valAx>
        <c:axId val="1104629847"/>
        <c:scaling>
          <c:orientation val="minMax"/>
          <c:min val="28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Bottom Speed (km/h)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94927222"/>
      </c:valAx>
      <c:valAx>
        <c:axId val="13949272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04629847"/>
      </c:valAx>
    </c:plotArea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Drop Target LAB2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v>Drop Target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System!$AL$22:$AL$28</c:f>
            </c:numRef>
          </c:xVal>
          <c:yVal>
            <c:numRef>
              <c:f>System!$AM$22:$AM$28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645918"/>
        <c:axId val="523081683"/>
      </c:scatterChart>
      <c:valAx>
        <c:axId val="37645918"/>
        <c:scaling>
          <c:orientation val="minMax"/>
          <c:min val="3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Bottom Speed (km/h)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23081683"/>
      </c:valAx>
      <c:valAx>
        <c:axId val="5230816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7645918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Relationship Id="rId3" Type="http://schemas.openxmlformats.org/officeDocument/2006/relationships/chart" Target="../charts/chart5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514350</xdr:colOff>
      <xdr:row>95</xdr:row>
      <xdr:rowOff>85725</xdr:rowOff>
    </xdr:from>
    <xdr:ext cx="5095875" cy="2686050"/>
    <xdr:graphicFrame>
      <xdr:nvGraphicFramePr>
        <xdr:cNvPr id="194807883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809625</xdr:colOff>
      <xdr:row>86</xdr:row>
      <xdr:rowOff>161925</xdr:rowOff>
    </xdr:from>
    <xdr:ext cx="5105400" cy="2752725"/>
    <xdr:graphicFrame>
      <xdr:nvGraphicFramePr>
        <xdr:cNvPr id="2124445284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29</xdr:col>
      <xdr:colOff>581025</xdr:colOff>
      <xdr:row>3</xdr:row>
      <xdr:rowOff>76200</xdr:rowOff>
    </xdr:from>
    <xdr:ext cx="4981575" cy="2733675"/>
    <xdr:graphicFrame>
      <xdr:nvGraphicFramePr>
        <xdr:cNvPr id="1640429405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29</xdr:col>
      <xdr:colOff>581025</xdr:colOff>
      <xdr:row>19</xdr:row>
      <xdr:rowOff>19050</xdr:rowOff>
    </xdr:from>
    <xdr:ext cx="4991100" cy="2733675"/>
    <xdr:graphicFrame>
      <xdr:nvGraphicFramePr>
        <xdr:cNvPr id="378676269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40</xdr:col>
      <xdr:colOff>95250</xdr:colOff>
      <xdr:row>3</xdr:row>
      <xdr:rowOff>28575</xdr:rowOff>
    </xdr:from>
    <xdr:ext cx="4848225" cy="2733675"/>
    <xdr:graphicFrame>
      <xdr:nvGraphicFramePr>
        <xdr:cNvPr id="1417871117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40</xdr:col>
      <xdr:colOff>95250</xdr:colOff>
      <xdr:row>18</xdr:row>
      <xdr:rowOff>180975</xdr:rowOff>
    </xdr:from>
    <xdr:ext cx="4848225" cy="2724150"/>
    <xdr:graphicFrame>
      <xdr:nvGraphicFramePr>
        <xdr:cNvPr id="41310340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headerRowCount="0" ref="A1:AH92" displayName="Table_1" name="Table_1" id="1">
  <tableColumns count="3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</tableColumns>
  <tableStyleInfo name="UW-style" showColumnStripes="1" showFirstColumn="1" showLastColumn="1" showRowStripes="0"/>
</table>
</file>

<file path=xl/tables/table2.xml><?xml version="1.0" encoding="utf-8"?>
<table xmlns="http://schemas.openxmlformats.org/spreadsheetml/2006/main" headerRowCount="0" ref="A1:AH83" displayName="Table_2" name="Table_2" id="2">
  <tableColumns count="3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</tableColumns>
  <tableStyleInfo name="DW-style" showColumnStripes="1" showFirstColumn="1" showLastColumn="1" showRow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7.38"/>
    <col customWidth="1" min="3" max="3" width="10.5"/>
    <col customWidth="1" min="4" max="4" width="8.38"/>
    <col customWidth="1" min="5" max="5" width="25.0"/>
    <col customWidth="1" min="6" max="6" width="13.5"/>
    <col customWidth="1" min="7" max="7" width="14.0"/>
    <col customWidth="1" min="8" max="8" width="13.38"/>
    <col customWidth="1" min="9" max="9" width="12.38"/>
    <col customWidth="1" min="10" max="10" width="15.63"/>
    <col customWidth="1" min="11" max="11" width="13.38"/>
    <col customWidth="1" min="12" max="12" width="13.0"/>
    <col customWidth="1" min="13" max="13" width="16.5"/>
    <col customWidth="1" min="14" max="14" width="14.13"/>
    <col customWidth="1" min="15" max="16" width="12.38"/>
    <col customWidth="1" min="17" max="17" width="13.88"/>
    <col customWidth="1" min="18" max="18" width="12.38"/>
    <col customWidth="1" min="19" max="19" width="12.13"/>
    <col customWidth="1" min="20" max="20" width="13.5"/>
    <col customWidth="1" min="21" max="21" width="13.88"/>
    <col customWidth="1" min="22" max="22" width="14.5"/>
    <col customWidth="1" min="23" max="23" width="15.13"/>
    <col customWidth="1" min="24" max="24" width="15.5"/>
    <col customWidth="1" min="25" max="25" width="8.0"/>
    <col customWidth="1" min="26" max="26" width="15.38"/>
    <col customWidth="1" min="27" max="27" width="10.63"/>
    <col customWidth="1" min="28" max="28" width="11.0"/>
    <col customWidth="1" min="29" max="29" width="11.13"/>
    <col customWidth="1" min="30" max="30" width="19.0"/>
    <col customWidth="1" min="31" max="31" width="13.88"/>
    <col customWidth="1" min="32" max="32" width="7.63"/>
    <col customWidth="1" min="33" max="33" width="15.63"/>
    <col customWidth="1" min="34" max="34" width="15.0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</row>
    <row r="2" ht="14.25" customHeight="1">
      <c r="A2" s="3" t="s">
        <v>34</v>
      </c>
      <c r="B2" s="4" t="s">
        <v>35</v>
      </c>
      <c r="C2" s="4" t="s">
        <v>36</v>
      </c>
      <c r="D2" s="4">
        <v>24.0</v>
      </c>
      <c r="E2" s="4" t="str">
        <f t="shared" ref="E2:E92" si="1">A2 &amp; "_" &amp; B2 &amp; "_" &amp; C2 &amp; "-" &amp; D2 &amp; "m"</f>
        <v>Foiling_HSB2_HSRW2-24m</v>
      </c>
      <c r="F2" s="4">
        <v>14.0</v>
      </c>
      <c r="G2" s="5" t="str">
        <f>ABS(Targets_UW[[#This Row],[BSP (km/h)]]*COS(RADIANS(Targets_UW[[#This Row],[TWA (deg)]]+Targets_UW[[#This Row],[LEEWAY (deg)]])))</f>
        <v>#ERROR!</v>
      </c>
      <c r="H2" s="5">
        <v>45.0</v>
      </c>
      <c r="I2" s="5">
        <v>70.0</v>
      </c>
      <c r="J2" s="5">
        <v>2.3</v>
      </c>
      <c r="K2" s="5">
        <v>4.0</v>
      </c>
      <c r="L2" s="5">
        <v>3.0</v>
      </c>
      <c r="M2" s="5" t="str">
        <f>Targets_UW[[#This Row],[CANT (deg)]]-Targets_UW[[#This Row],[HEEL (deg)]]</f>
        <v>#ERROR!</v>
      </c>
      <c r="N2" s="5">
        <v>1180.0</v>
      </c>
      <c r="O2" s="5">
        <v>1.63</v>
      </c>
      <c r="P2" s="5">
        <v>5.5</v>
      </c>
      <c r="Q2" s="5">
        <v>-3.2</v>
      </c>
      <c r="R2" s="5">
        <v>-19.0</v>
      </c>
      <c r="S2" s="5" t="str">
        <f>Targets_UW[[#This Row],[CLEW (deg)]]-0.5*Targets_UW[[#This Row],[CA1 (deg)]]</f>
        <v>#ERROR!</v>
      </c>
      <c r="T2" s="5">
        <v>-1.5</v>
      </c>
      <c r="U2" s="5">
        <v>23.0</v>
      </c>
      <c r="V2" s="5">
        <v>500.0</v>
      </c>
      <c r="W2" s="5">
        <v>5.5</v>
      </c>
      <c r="X2" s="5">
        <v>450.0</v>
      </c>
      <c r="Y2" s="5" t="str">
        <f>SQRT(Targets_UW[[#This Row],[TWS (km/h)]]^2+Targets_UW[[#This Row],[BSP (km/h)]]^2+2*Targets_UW[[#This Row],[TWS (km/h)]]*Targets_UW[[#This Row],[BSP (km/h)]]*COS(RADIANS(Targets_UW[[#This Row],[TWA (deg)]]+Targets_UW[[#This Row],[LEEWAY (deg)]])))</f>
        <v>#ERROR!</v>
      </c>
      <c r="Z2" s="5" t="str">
        <f>DEGREES(ASIN(Targets_UW[[#This Row],[TWS (km/h)]]*SIN(RADIANS(Targets_UW[[#This Row],[TWA (deg)]]+Targets_UW[[#This Row],[LEEWAY (deg)]]))/Targets_UW[[#This Row],[AWS]]))</f>
        <v>#ERROR!</v>
      </c>
      <c r="AA2" s="5" t="str">
        <f>Targets_UW[[#This Row],[AWA+Leeway]]-Targets_UW[[#This Row],[ROT (deg)]]</f>
        <v>#ERROR!</v>
      </c>
      <c r="AB2" s="5" t="str">
        <f>Targets_UW[[#This Row],[TWS (km/h)]]*(Targets_UW[[#This Row],[Wing]]/10)^0.1</f>
        <v>#ERROR!</v>
      </c>
      <c r="AC2" s="5" t="str">
        <f>SQRT(Targets_UW[[#This Row],[TWSTop]]^2+Targets_UW[[#This Row],[BSP (km/h)]]^2+2*Targets_UW[[#This Row],[BSP (km/h)]]*Targets_UW[[#This Row],[TWSTop]]*COS(RADIANS(Targets_UW[[#This Row],[TWA (deg)]]+Targets_UW[[#This Row],[LEEWAY (deg)]])))</f>
        <v>#ERROR!</v>
      </c>
      <c r="AD2" s="5" t="str">
        <f>DEGREES(ASIN(Targets_UW[[#This Row],[TWSTop]]*SIN(RADIANS(Targets_UW[[#This Row],[TWA (deg)]]+Targets_UW[[#This Row],[LEEWAY (deg)]]))/Targets_UW[[#This Row],[AWSTop]]))</f>
        <v>#ERROR!</v>
      </c>
      <c r="AE2" s="5" t="str">
        <f>Targets_UW[[#This Row],[AWA+Leeway Top]]-Targets_UW[[#This Row],[ROT (deg)]]</f>
        <v>#ERROR!</v>
      </c>
      <c r="AF2" s="5" t="str">
        <f>Targets_UW[[#This Row],[CLEW (deg)]]+Targets_UW[[#This Row],[TWIST (deg)]]</f>
        <v>#ERROR!</v>
      </c>
      <c r="AG2" s="6" t="str">
        <f>Targets_UW[[#This Row],[AWA+Leeway Top]]-Targets_UW[[#This Row],[CA6]]</f>
        <v>#ERROR!</v>
      </c>
      <c r="AH2" s="7" t="str">
        <f>Targets_UW[[#This Row],[AWA+Leeway]]-Targets_UW[[#This Row],[JibLead (deg)]]</f>
        <v>#ERROR!</v>
      </c>
    </row>
    <row r="3" ht="14.25" customHeight="1">
      <c r="A3" s="8" t="s">
        <v>34</v>
      </c>
      <c r="B3" s="9" t="s">
        <v>35</v>
      </c>
      <c r="C3" s="9" t="s">
        <v>36</v>
      </c>
      <c r="D3" s="9">
        <v>24.0</v>
      </c>
      <c r="E3" s="9" t="str">
        <f t="shared" si="1"/>
        <v>Foiling_HSB2_HSRW2-24m</v>
      </c>
      <c r="F3" s="9">
        <v>16.0</v>
      </c>
      <c r="G3" s="7" t="str">
        <f>ABS(Targets_UW[[#This Row],[BSP (km/h)]]*COS(RADIANS(Targets_UW[[#This Row],[TWA (deg)]]+Targets_UW[[#This Row],[LEEWAY (deg)]])))</f>
        <v>#ERROR!</v>
      </c>
      <c r="H3" s="7">
        <v>46.5</v>
      </c>
      <c r="I3" s="7">
        <v>63.5</v>
      </c>
      <c r="J3" s="7">
        <v>2.3</v>
      </c>
      <c r="K3" s="7">
        <v>2.0</v>
      </c>
      <c r="L3" s="7">
        <v>3.0</v>
      </c>
      <c r="M3" s="7" t="str">
        <f>Targets_UW[[#This Row],[CANT (deg)]]-Targets_UW[[#This Row],[HEEL (deg)]]</f>
        <v>#ERROR!</v>
      </c>
      <c r="N3" s="7">
        <v>1175.0</v>
      </c>
      <c r="O3" s="7">
        <v>1.56</v>
      </c>
      <c r="P3" s="7">
        <v>5.55</v>
      </c>
      <c r="Q3" s="7">
        <v>-3.2</v>
      </c>
      <c r="R3" s="7">
        <v>-19.0</v>
      </c>
      <c r="S3" s="7" t="str">
        <f>Targets_UW[[#This Row],[CLEW (deg)]]-0.5*Targets_UW[[#This Row],[CA1 (deg)]]</f>
        <v>#ERROR!</v>
      </c>
      <c r="T3" s="7">
        <v>-0.8</v>
      </c>
      <c r="U3" s="7">
        <v>24.0</v>
      </c>
      <c r="V3" s="7">
        <v>800.0</v>
      </c>
      <c r="W3" s="7">
        <v>5.5</v>
      </c>
      <c r="X3" s="7">
        <v>600.0</v>
      </c>
      <c r="Y3" s="7" t="str">
        <f>SQRT(Targets_UW[[#This Row],[TWS (km/h)]]^2+Targets_UW[[#This Row],[BSP (km/h)]]^2+2*Targets_UW[[#This Row],[TWS (km/h)]]*Targets_UW[[#This Row],[BSP (km/h)]]*COS(RADIANS(Targets_UW[[#This Row],[TWA (deg)]]+Targets_UW[[#This Row],[LEEWAY (deg)]])))</f>
        <v>#ERROR!</v>
      </c>
      <c r="Z3" s="7" t="str">
        <f>DEGREES(ASIN(Targets_UW[[#This Row],[TWS (km/h)]]*SIN(RADIANS(Targets_UW[[#This Row],[TWA (deg)]]+Targets_UW[[#This Row],[LEEWAY (deg)]]))/Targets_UW[[#This Row],[AWS]]))</f>
        <v>#ERROR!</v>
      </c>
      <c r="AA3" s="7" t="str">
        <f>Targets_UW[[#This Row],[AWA+Leeway]]-Targets_UW[[#This Row],[ROT (deg)]]</f>
        <v>#ERROR!</v>
      </c>
      <c r="AB3" s="7" t="str">
        <f>Targets_UW[[#This Row],[TWS (km/h)]]*(Targets_UW[[#This Row],[Wing]]/10)^0.1</f>
        <v>#ERROR!</v>
      </c>
      <c r="AC3" s="7" t="str">
        <f>SQRT(Targets_UW[[#This Row],[TWSTop]]^2+Targets_UW[[#This Row],[BSP (km/h)]]^2+2*Targets_UW[[#This Row],[BSP (km/h)]]*Targets_UW[[#This Row],[TWSTop]]*COS(RADIANS(Targets_UW[[#This Row],[TWA (deg)]]+Targets_UW[[#This Row],[LEEWAY (deg)]])))</f>
        <v>#ERROR!</v>
      </c>
      <c r="AD3" s="7" t="str">
        <f>DEGREES(ASIN(Targets_UW[[#This Row],[TWSTop]]*SIN(RADIANS(Targets_UW[[#This Row],[TWA (deg)]]+Targets_UW[[#This Row],[LEEWAY (deg)]]))/Targets_UW[[#This Row],[AWSTop]]))</f>
        <v>#ERROR!</v>
      </c>
      <c r="AE3" s="7" t="str">
        <f>Targets_UW[[#This Row],[AWA+Leeway Top]]-Targets_UW[[#This Row],[ROT (deg)]]</f>
        <v>#ERROR!</v>
      </c>
      <c r="AF3" s="7" t="str">
        <f>Targets_UW[[#This Row],[CLEW (deg)]]+Targets_UW[[#This Row],[TWIST (deg)]]</f>
        <v>#ERROR!</v>
      </c>
      <c r="AG3" s="10" t="str">
        <f>Targets_UW[[#This Row],[AWA+Leeway Top]]-Targets_UW[[#This Row],[CA6]]</f>
        <v>#ERROR!</v>
      </c>
      <c r="AH3" s="7" t="str">
        <f>Targets_UW[[#This Row],[AWA+Leeway]]-Targets_UW[[#This Row],[JibLead (deg)]]</f>
        <v>#ERROR!</v>
      </c>
    </row>
    <row r="4" ht="14.25" customHeight="1">
      <c r="A4" s="8" t="s">
        <v>34</v>
      </c>
      <c r="B4" s="9" t="s">
        <v>35</v>
      </c>
      <c r="C4" s="9" t="s">
        <v>36</v>
      </c>
      <c r="D4" s="9">
        <v>24.0</v>
      </c>
      <c r="E4" s="9" t="str">
        <f t="shared" si="1"/>
        <v>Foiling_HSB2_HSRW2-24m</v>
      </c>
      <c r="F4" s="9">
        <v>18.0</v>
      </c>
      <c r="G4" s="7" t="str">
        <f>ABS(Targets_UW[[#This Row],[BSP (km/h)]]*COS(RADIANS(Targets_UW[[#This Row],[TWA (deg)]]+Targets_UW[[#This Row],[LEEWAY (deg)]])))</f>
        <v>#ERROR!</v>
      </c>
      <c r="H4" s="7">
        <v>49.0</v>
      </c>
      <c r="I4" s="7">
        <v>58.7</v>
      </c>
      <c r="J4" s="7">
        <v>2.2</v>
      </c>
      <c r="K4" s="7">
        <v>0.0</v>
      </c>
      <c r="L4" s="7">
        <v>3.0</v>
      </c>
      <c r="M4" s="7" t="str">
        <f>Targets_UW[[#This Row],[CANT (deg)]]-Targets_UW[[#This Row],[HEEL (deg)]]</f>
        <v>#ERROR!</v>
      </c>
      <c r="N4" s="7">
        <v>1170.0</v>
      </c>
      <c r="O4" s="7">
        <v>1.46</v>
      </c>
      <c r="P4" s="7">
        <v>5.6000000000000005</v>
      </c>
      <c r="Q4" s="7">
        <v>-3.2</v>
      </c>
      <c r="R4" s="7">
        <v>-18.5269517600001</v>
      </c>
      <c r="S4" s="7" t="str">
        <f>Targets_UW[[#This Row],[CLEW (deg)]]-0.5*Targets_UW[[#This Row],[CA1 (deg)]]</f>
        <v>#ERROR!</v>
      </c>
      <c r="T4" s="7">
        <v>-0.5</v>
      </c>
      <c r="U4" s="7">
        <v>25.5</v>
      </c>
      <c r="V4" s="7">
        <v>1120.0</v>
      </c>
      <c r="W4" s="7">
        <v>5.5</v>
      </c>
      <c r="X4" s="7">
        <v>800.0</v>
      </c>
      <c r="Y4" s="7" t="str">
        <f>SQRT(Targets_UW[[#This Row],[TWS (km/h)]]^2+Targets_UW[[#This Row],[BSP (km/h)]]^2+2*Targets_UW[[#This Row],[TWS (km/h)]]*Targets_UW[[#This Row],[BSP (km/h)]]*COS(RADIANS(Targets_UW[[#This Row],[TWA (deg)]]+Targets_UW[[#This Row],[LEEWAY (deg)]])))</f>
        <v>#ERROR!</v>
      </c>
      <c r="Z4" s="7" t="str">
        <f>DEGREES(ASIN(Targets_UW[[#This Row],[TWS (km/h)]]*SIN(RADIANS(Targets_UW[[#This Row],[TWA (deg)]]+Targets_UW[[#This Row],[LEEWAY (deg)]]))/Targets_UW[[#This Row],[AWS]]))</f>
        <v>#ERROR!</v>
      </c>
      <c r="AA4" s="7" t="str">
        <f>Targets_UW[[#This Row],[AWA+Leeway]]-Targets_UW[[#This Row],[ROT (deg)]]</f>
        <v>#ERROR!</v>
      </c>
      <c r="AB4" s="7" t="str">
        <f>Targets_UW[[#This Row],[TWS (km/h)]]*(Targets_UW[[#This Row],[Wing]]/10)^0.1</f>
        <v>#ERROR!</v>
      </c>
      <c r="AC4" s="7" t="str">
        <f>SQRT(Targets_UW[[#This Row],[TWSTop]]^2+Targets_UW[[#This Row],[BSP (km/h)]]^2+2*Targets_UW[[#This Row],[BSP (km/h)]]*Targets_UW[[#This Row],[TWSTop]]*COS(RADIANS(Targets_UW[[#This Row],[TWA (deg)]]+Targets_UW[[#This Row],[LEEWAY (deg)]])))</f>
        <v>#ERROR!</v>
      </c>
      <c r="AD4" s="7" t="str">
        <f>DEGREES(ASIN(Targets_UW[[#This Row],[TWSTop]]*SIN(RADIANS(Targets_UW[[#This Row],[TWA (deg)]]+Targets_UW[[#This Row],[LEEWAY (deg)]]))/Targets_UW[[#This Row],[AWSTop]]))</f>
        <v>#ERROR!</v>
      </c>
      <c r="AE4" s="7" t="str">
        <f>Targets_UW[[#This Row],[AWA+Leeway Top]]-Targets_UW[[#This Row],[ROT (deg)]]</f>
        <v>#ERROR!</v>
      </c>
      <c r="AF4" s="7" t="str">
        <f>Targets_UW[[#This Row],[CLEW (deg)]]+Targets_UW[[#This Row],[TWIST (deg)]]</f>
        <v>#ERROR!</v>
      </c>
      <c r="AG4" s="10" t="str">
        <f>Targets_UW[[#This Row],[AWA+Leeway Top]]-Targets_UW[[#This Row],[CA6]]</f>
        <v>#ERROR!</v>
      </c>
      <c r="AH4" s="7" t="str">
        <f>Targets_UW[[#This Row],[AWA+Leeway]]-Targets_UW[[#This Row],[JibLead (deg)]]</f>
        <v>#ERROR!</v>
      </c>
    </row>
    <row r="5" ht="14.25" customHeight="1">
      <c r="A5" s="8" t="s">
        <v>34</v>
      </c>
      <c r="B5" s="9" t="s">
        <v>35</v>
      </c>
      <c r="C5" s="9" t="s">
        <v>36</v>
      </c>
      <c r="D5" s="9">
        <v>24.0</v>
      </c>
      <c r="E5" s="9" t="str">
        <f t="shared" si="1"/>
        <v>Foiling_HSB2_HSRW2-24m</v>
      </c>
      <c r="F5" s="9">
        <v>20.0</v>
      </c>
      <c r="G5" s="7" t="str">
        <f>ABS(Targets_UW[[#This Row],[BSP (km/h)]]*COS(RADIANS(Targets_UW[[#This Row],[TWA (deg)]]+Targets_UW[[#This Row],[LEEWAY (deg)]])))</f>
        <v>#ERROR!</v>
      </c>
      <c r="H5" s="7">
        <v>51.5346899799999</v>
      </c>
      <c r="I5" s="7">
        <v>54.6</v>
      </c>
      <c r="J5" s="7">
        <v>2.0</v>
      </c>
      <c r="K5" s="7">
        <v>-2.0</v>
      </c>
      <c r="L5" s="7">
        <v>3.0</v>
      </c>
      <c r="M5" s="7" t="str">
        <f>Targets_UW[[#This Row],[CANT (deg)]]-Targets_UW[[#This Row],[HEEL (deg)]]</f>
        <v>#ERROR!</v>
      </c>
      <c r="N5" s="7">
        <v>1165.0</v>
      </c>
      <c r="O5" s="7">
        <v>1.35</v>
      </c>
      <c r="P5" s="7">
        <v>5.46</v>
      </c>
      <c r="Q5" s="7">
        <v>-3.4</v>
      </c>
      <c r="R5" s="7">
        <v>-17.9326649999999</v>
      </c>
      <c r="S5" s="7" t="str">
        <f>Targets_UW[[#This Row],[CLEW (deg)]]-0.5*Targets_UW[[#This Row],[CA1 (deg)]]</f>
        <v>#ERROR!</v>
      </c>
      <c r="T5" s="7">
        <v>-0.25</v>
      </c>
      <c r="U5" s="7">
        <v>27.0</v>
      </c>
      <c r="V5" s="7">
        <v>1350.0</v>
      </c>
      <c r="W5" s="7">
        <v>5.5</v>
      </c>
      <c r="X5" s="7">
        <v>1000.0</v>
      </c>
      <c r="Y5" s="7" t="str">
        <f>SQRT(Targets_UW[[#This Row],[TWS (km/h)]]^2+Targets_UW[[#This Row],[BSP (km/h)]]^2+2*Targets_UW[[#This Row],[TWS (km/h)]]*Targets_UW[[#This Row],[BSP (km/h)]]*COS(RADIANS(Targets_UW[[#This Row],[TWA (deg)]]+Targets_UW[[#This Row],[LEEWAY (deg)]])))</f>
        <v>#ERROR!</v>
      </c>
      <c r="Z5" s="7" t="str">
        <f>DEGREES(ASIN(Targets_UW[[#This Row],[TWS (km/h)]]*SIN(RADIANS(Targets_UW[[#This Row],[TWA (deg)]]+Targets_UW[[#This Row],[LEEWAY (deg)]]))/Targets_UW[[#This Row],[AWS]]))</f>
        <v>#ERROR!</v>
      </c>
      <c r="AA5" s="7" t="str">
        <f>Targets_UW[[#This Row],[AWA+Leeway]]-Targets_UW[[#This Row],[ROT (deg)]]</f>
        <v>#ERROR!</v>
      </c>
      <c r="AB5" s="7" t="str">
        <f>Targets_UW[[#This Row],[TWS (km/h)]]*(Targets_UW[[#This Row],[Wing]]/10)^0.1</f>
        <v>#ERROR!</v>
      </c>
      <c r="AC5" s="7" t="str">
        <f>SQRT(Targets_UW[[#This Row],[TWSTop]]^2+Targets_UW[[#This Row],[BSP (km/h)]]^2+2*Targets_UW[[#This Row],[BSP (km/h)]]*Targets_UW[[#This Row],[TWSTop]]*COS(RADIANS(Targets_UW[[#This Row],[TWA (deg)]]+Targets_UW[[#This Row],[LEEWAY (deg)]])))</f>
        <v>#ERROR!</v>
      </c>
      <c r="AD5" s="7" t="str">
        <f>DEGREES(ASIN(Targets_UW[[#This Row],[TWSTop]]*SIN(RADIANS(Targets_UW[[#This Row],[TWA (deg)]]+Targets_UW[[#This Row],[LEEWAY (deg)]]))/Targets_UW[[#This Row],[AWSTop]]))</f>
        <v>#ERROR!</v>
      </c>
      <c r="AE5" s="7" t="str">
        <f>Targets_UW[[#This Row],[AWA+Leeway Top]]-Targets_UW[[#This Row],[ROT (deg)]]</f>
        <v>#ERROR!</v>
      </c>
      <c r="AF5" s="7" t="str">
        <f>Targets_UW[[#This Row],[CLEW (deg)]]+Targets_UW[[#This Row],[TWIST (deg)]]</f>
        <v>#ERROR!</v>
      </c>
      <c r="AG5" s="10" t="str">
        <f>Targets_UW[[#This Row],[AWA+Leeway Top]]-Targets_UW[[#This Row],[CA6]]</f>
        <v>#ERROR!</v>
      </c>
      <c r="AH5" s="7" t="str">
        <f>Targets_UW[[#This Row],[AWA+Leeway]]-Targets_UW[[#This Row],[JibLead (deg)]]</f>
        <v>#ERROR!</v>
      </c>
    </row>
    <row r="6" ht="14.25" customHeight="1">
      <c r="A6" s="8" t="s">
        <v>34</v>
      </c>
      <c r="B6" s="9" t="s">
        <v>35</v>
      </c>
      <c r="C6" s="9" t="s">
        <v>36</v>
      </c>
      <c r="D6" s="9">
        <v>24.0</v>
      </c>
      <c r="E6" s="9" t="str">
        <f t="shared" si="1"/>
        <v>Foiling_HSB2_HSRW2-24m</v>
      </c>
      <c r="F6" s="9">
        <v>22.0</v>
      </c>
      <c r="G6" s="7" t="str">
        <f>ABS(Targets_UW[[#This Row],[BSP (km/h)]]*COS(RADIANS(Targets_UW[[#This Row],[TWA (deg)]]+Targets_UW[[#This Row],[LEEWAY (deg)]])))</f>
        <v>#ERROR!</v>
      </c>
      <c r="H6" s="7">
        <v>53.6</v>
      </c>
      <c r="I6" s="7">
        <v>52.6</v>
      </c>
      <c r="J6" s="7">
        <v>1.8</v>
      </c>
      <c r="K6" s="7">
        <v>-4.0</v>
      </c>
      <c r="L6" s="7">
        <v>2.7</v>
      </c>
      <c r="M6" s="7" t="str">
        <f>Targets_UW[[#This Row],[CANT (deg)]]-Targets_UW[[#This Row],[HEEL (deg)]]</f>
        <v>#ERROR!</v>
      </c>
      <c r="N6" s="7">
        <v>1160.0</v>
      </c>
      <c r="O6" s="7">
        <v>1.26</v>
      </c>
      <c r="P6" s="7">
        <v>5.31</v>
      </c>
      <c r="Q6" s="7">
        <v>-3.5</v>
      </c>
      <c r="R6" s="7">
        <v>-17.46505296</v>
      </c>
      <c r="S6" s="7" t="str">
        <f>Targets_UW[[#This Row],[CLEW (deg)]]-0.5*Targets_UW[[#This Row],[CA1 (deg)]]</f>
        <v>#ERROR!</v>
      </c>
      <c r="T6" s="7">
        <v>-0.05</v>
      </c>
      <c r="U6" s="7">
        <v>28.0</v>
      </c>
      <c r="V6" s="7">
        <v>1575.0</v>
      </c>
      <c r="W6" s="7">
        <v>5.5</v>
      </c>
      <c r="X6" s="7">
        <v>1200.0</v>
      </c>
      <c r="Y6" s="7" t="str">
        <f>SQRT(Targets_UW[[#This Row],[TWS (km/h)]]^2+Targets_UW[[#This Row],[BSP (km/h)]]^2+2*Targets_UW[[#This Row],[TWS (km/h)]]*Targets_UW[[#This Row],[BSP (km/h)]]*COS(RADIANS(Targets_UW[[#This Row],[TWA (deg)]]+Targets_UW[[#This Row],[LEEWAY (deg)]])))</f>
        <v>#ERROR!</v>
      </c>
      <c r="Z6" s="7" t="str">
        <f>DEGREES(ASIN(Targets_UW[[#This Row],[TWS (km/h)]]*SIN(RADIANS(Targets_UW[[#This Row],[TWA (deg)]]+Targets_UW[[#This Row],[LEEWAY (deg)]]))/Targets_UW[[#This Row],[AWS]]))</f>
        <v>#ERROR!</v>
      </c>
      <c r="AA6" s="7" t="str">
        <f>Targets_UW[[#This Row],[AWA+Leeway]]-Targets_UW[[#This Row],[ROT (deg)]]</f>
        <v>#ERROR!</v>
      </c>
      <c r="AB6" s="7" t="str">
        <f>Targets_UW[[#This Row],[TWS (km/h)]]*(Targets_UW[[#This Row],[Wing]]/10)^0.1</f>
        <v>#ERROR!</v>
      </c>
      <c r="AC6" s="7" t="str">
        <f>SQRT(Targets_UW[[#This Row],[TWSTop]]^2+Targets_UW[[#This Row],[BSP (km/h)]]^2+2*Targets_UW[[#This Row],[BSP (km/h)]]*Targets_UW[[#This Row],[TWSTop]]*COS(RADIANS(Targets_UW[[#This Row],[TWA (deg)]]+Targets_UW[[#This Row],[LEEWAY (deg)]])))</f>
        <v>#ERROR!</v>
      </c>
      <c r="AD6" s="7" t="str">
        <f>DEGREES(ASIN(Targets_UW[[#This Row],[TWSTop]]*SIN(RADIANS(Targets_UW[[#This Row],[TWA (deg)]]+Targets_UW[[#This Row],[LEEWAY (deg)]]))/Targets_UW[[#This Row],[AWSTop]]))</f>
        <v>#ERROR!</v>
      </c>
      <c r="AE6" s="7" t="str">
        <f>Targets_UW[[#This Row],[AWA+Leeway Top]]-Targets_UW[[#This Row],[ROT (deg)]]</f>
        <v>#ERROR!</v>
      </c>
      <c r="AF6" s="7" t="str">
        <f>Targets_UW[[#This Row],[CLEW (deg)]]+Targets_UW[[#This Row],[TWIST (deg)]]</f>
        <v>#ERROR!</v>
      </c>
      <c r="AG6" s="10" t="str">
        <f>Targets_UW[[#This Row],[AWA+Leeway Top]]-Targets_UW[[#This Row],[CA6]]</f>
        <v>#ERROR!</v>
      </c>
      <c r="AH6" s="7" t="str">
        <f>Targets_UW[[#This Row],[AWA+Leeway]]-Targets_UW[[#This Row],[JibLead (deg)]]</f>
        <v>#ERROR!</v>
      </c>
    </row>
    <row r="7" ht="14.25" customHeight="1">
      <c r="A7" s="8" t="s">
        <v>34</v>
      </c>
      <c r="B7" s="9" t="s">
        <v>35</v>
      </c>
      <c r="C7" s="9" t="s">
        <v>36</v>
      </c>
      <c r="D7" s="9">
        <v>24.0</v>
      </c>
      <c r="E7" s="9" t="str">
        <f t="shared" si="1"/>
        <v>Foiling_HSB2_HSRW2-24m</v>
      </c>
      <c r="F7" s="9">
        <v>24.0</v>
      </c>
      <c r="G7" s="7" t="str">
        <f>ABS(Targets_UW[[#This Row],[BSP (km/h)]]*COS(RADIANS(Targets_UW[[#This Row],[TWA (deg)]]+Targets_UW[[#This Row],[LEEWAY (deg)]])))</f>
        <v>#ERROR!</v>
      </c>
      <c r="H7" s="7">
        <v>55.7853010912959</v>
      </c>
      <c r="I7" s="7">
        <v>50.9</v>
      </c>
      <c r="J7" s="7">
        <v>1.5</v>
      </c>
      <c r="K7" s="7">
        <v>-6.5</v>
      </c>
      <c r="L7" s="7">
        <v>2.4</v>
      </c>
      <c r="M7" s="7" t="str">
        <f>Targets_UW[[#This Row],[CANT (deg)]]-Targets_UW[[#This Row],[HEEL (deg)]]</f>
        <v>#ERROR!</v>
      </c>
      <c r="N7" s="7">
        <v>1150.0</v>
      </c>
      <c r="O7" s="7">
        <v>1.17</v>
      </c>
      <c r="P7" s="7">
        <v>5.1000000000000005</v>
      </c>
      <c r="Q7" s="7">
        <v>-3.5</v>
      </c>
      <c r="R7" s="7">
        <v>-17.1241156400001</v>
      </c>
      <c r="S7" s="7" t="str">
        <f>Targets_UW[[#This Row],[CLEW (deg)]]-0.5*Targets_UW[[#This Row],[CA1 (deg)]]</f>
        <v>#ERROR!</v>
      </c>
      <c r="T7" s="7">
        <v>0.15</v>
      </c>
      <c r="U7" s="7">
        <v>29.0</v>
      </c>
      <c r="V7" s="7">
        <v>1710.0</v>
      </c>
      <c r="W7" s="7">
        <v>5.5</v>
      </c>
      <c r="X7" s="7">
        <v>1380.0</v>
      </c>
      <c r="Y7" s="7" t="str">
        <f>SQRT(Targets_UW[[#This Row],[TWS (km/h)]]^2+Targets_UW[[#This Row],[BSP (km/h)]]^2+2*Targets_UW[[#This Row],[TWS (km/h)]]*Targets_UW[[#This Row],[BSP (km/h)]]*COS(RADIANS(Targets_UW[[#This Row],[TWA (deg)]]+Targets_UW[[#This Row],[LEEWAY (deg)]])))</f>
        <v>#ERROR!</v>
      </c>
      <c r="Z7" s="7" t="str">
        <f>DEGREES(ASIN(Targets_UW[[#This Row],[TWS (km/h)]]*SIN(RADIANS(Targets_UW[[#This Row],[TWA (deg)]]+Targets_UW[[#This Row],[LEEWAY (deg)]]))/Targets_UW[[#This Row],[AWS]]))</f>
        <v>#ERROR!</v>
      </c>
      <c r="AA7" s="7" t="str">
        <f>Targets_UW[[#This Row],[AWA+Leeway]]-Targets_UW[[#This Row],[ROT (deg)]]</f>
        <v>#ERROR!</v>
      </c>
      <c r="AB7" s="7" t="str">
        <f>Targets_UW[[#This Row],[TWS (km/h)]]*(Targets_UW[[#This Row],[Wing]]/10)^0.1</f>
        <v>#ERROR!</v>
      </c>
      <c r="AC7" s="7" t="str">
        <f>SQRT(Targets_UW[[#This Row],[TWSTop]]^2+Targets_UW[[#This Row],[BSP (km/h)]]^2+2*Targets_UW[[#This Row],[BSP (km/h)]]*Targets_UW[[#This Row],[TWSTop]]*COS(RADIANS(Targets_UW[[#This Row],[TWA (deg)]]+Targets_UW[[#This Row],[LEEWAY (deg)]])))</f>
        <v>#ERROR!</v>
      </c>
      <c r="AD7" s="7" t="str">
        <f>DEGREES(ASIN(Targets_UW[[#This Row],[TWSTop]]*SIN(RADIANS(Targets_UW[[#This Row],[TWA (deg)]]+Targets_UW[[#This Row],[LEEWAY (deg)]]))/Targets_UW[[#This Row],[AWSTop]]))</f>
        <v>#ERROR!</v>
      </c>
      <c r="AE7" s="7" t="str">
        <f>Targets_UW[[#This Row],[AWA+Leeway Top]]-Targets_UW[[#This Row],[ROT (deg)]]</f>
        <v>#ERROR!</v>
      </c>
      <c r="AF7" s="7" t="str">
        <f>Targets_UW[[#This Row],[CLEW (deg)]]+Targets_UW[[#This Row],[TWIST (deg)]]</f>
        <v>#ERROR!</v>
      </c>
      <c r="AG7" s="10" t="str">
        <f>Targets_UW[[#This Row],[AWA+Leeway Top]]-Targets_UW[[#This Row],[CA6]]</f>
        <v>#ERROR!</v>
      </c>
      <c r="AH7" s="7" t="str">
        <f>Targets_UW[[#This Row],[AWA+Leeway]]-Targets_UW[[#This Row],[JibLead (deg)]]</f>
        <v>#ERROR!</v>
      </c>
    </row>
    <row r="8" ht="14.25" customHeight="1">
      <c r="A8" s="8" t="s">
        <v>34</v>
      </c>
      <c r="B8" s="9" t="s">
        <v>35</v>
      </c>
      <c r="C8" s="9" t="s">
        <v>36</v>
      </c>
      <c r="D8" s="9">
        <v>24.0</v>
      </c>
      <c r="E8" s="9" t="str">
        <f t="shared" si="1"/>
        <v>Foiling_HSB2_HSRW2-24m</v>
      </c>
      <c r="F8" s="9">
        <v>26.0</v>
      </c>
      <c r="G8" s="7" t="str">
        <f>ABS(Targets_UW[[#This Row],[BSP (km/h)]]*COS(RADIANS(Targets_UW[[#This Row],[TWA (deg)]]+Targets_UW[[#This Row],[LEEWAY (deg)]])))</f>
        <v>#ERROR!</v>
      </c>
      <c r="H8" s="7">
        <v>57.3744312673759</v>
      </c>
      <c r="I8" s="7">
        <v>49.5</v>
      </c>
      <c r="J8" s="7">
        <v>1.3</v>
      </c>
      <c r="K8" s="7">
        <v>-9.0</v>
      </c>
      <c r="L8" s="7">
        <v>2.1</v>
      </c>
      <c r="M8" s="7" t="str">
        <f>Targets_UW[[#This Row],[CANT (deg)]]-Targets_UW[[#This Row],[HEEL (deg)]]</f>
        <v>#ERROR!</v>
      </c>
      <c r="N8" s="7">
        <v>1135.0</v>
      </c>
      <c r="O8" s="7">
        <v>1.12</v>
      </c>
      <c r="P8" s="7">
        <v>4.8999999999999995</v>
      </c>
      <c r="Q8" s="7">
        <v>-3.5</v>
      </c>
      <c r="R8" s="7">
        <v>-16.8</v>
      </c>
      <c r="S8" s="7" t="str">
        <f>Targets_UW[[#This Row],[CLEW (deg)]]-0.5*Targets_UW[[#This Row],[CA1 (deg)]]</f>
        <v>#ERROR!</v>
      </c>
      <c r="T8" s="7">
        <v>0.25</v>
      </c>
      <c r="U8" s="7">
        <v>30.0</v>
      </c>
      <c r="V8" s="7">
        <v>1800.0</v>
      </c>
      <c r="W8" s="7">
        <v>5.5</v>
      </c>
      <c r="X8" s="7">
        <v>1500.0</v>
      </c>
      <c r="Y8" s="7" t="str">
        <f>SQRT(Targets_UW[[#This Row],[TWS (km/h)]]^2+Targets_UW[[#This Row],[BSP (km/h)]]^2+2*Targets_UW[[#This Row],[TWS (km/h)]]*Targets_UW[[#This Row],[BSP (km/h)]]*COS(RADIANS(Targets_UW[[#This Row],[TWA (deg)]]+Targets_UW[[#This Row],[LEEWAY (deg)]])))</f>
        <v>#ERROR!</v>
      </c>
      <c r="Z8" s="7" t="str">
        <f>DEGREES(ASIN(Targets_UW[[#This Row],[TWS (km/h)]]*SIN(RADIANS(Targets_UW[[#This Row],[TWA (deg)]]+Targets_UW[[#This Row],[LEEWAY (deg)]]))/Targets_UW[[#This Row],[AWS]]))</f>
        <v>#ERROR!</v>
      </c>
      <c r="AA8" s="7" t="str">
        <f>Targets_UW[[#This Row],[AWA+Leeway]]-Targets_UW[[#This Row],[ROT (deg)]]</f>
        <v>#ERROR!</v>
      </c>
      <c r="AB8" s="7" t="str">
        <f>Targets_UW[[#This Row],[TWS (km/h)]]*(Targets_UW[[#This Row],[Wing]]/10)^0.1</f>
        <v>#ERROR!</v>
      </c>
      <c r="AC8" s="7" t="str">
        <f>SQRT(Targets_UW[[#This Row],[TWSTop]]^2+Targets_UW[[#This Row],[BSP (km/h)]]^2+2*Targets_UW[[#This Row],[BSP (km/h)]]*Targets_UW[[#This Row],[TWSTop]]*COS(RADIANS(Targets_UW[[#This Row],[TWA (deg)]]+Targets_UW[[#This Row],[LEEWAY (deg)]])))</f>
        <v>#ERROR!</v>
      </c>
      <c r="AD8" s="7" t="str">
        <f>DEGREES(ASIN(Targets_UW[[#This Row],[TWSTop]]*SIN(RADIANS(Targets_UW[[#This Row],[TWA (deg)]]+Targets_UW[[#This Row],[LEEWAY (deg)]]))/Targets_UW[[#This Row],[AWSTop]]))</f>
        <v>#ERROR!</v>
      </c>
      <c r="AE8" s="7" t="str">
        <f>Targets_UW[[#This Row],[AWA+Leeway Top]]-Targets_UW[[#This Row],[ROT (deg)]]</f>
        <v>#ERROR!</v>
      </c>
      <c r="AF8" s="7" t="str">
        <f>Targets_UW[[#This Row],[CLEW (deg)]]+Targets_UW[[#This Row],[TWIST (deg)]]</f>
        <v>#ERROR!</v>
      </c>
      <c r="AG8" s="10" t="str">
        <f>Targets_UW[[#This Row],[AWA+Leeway Top]]-Targets_UW[[#This Row],[CA6]]</f>
        <v>#ERROR!</v>
      </c>
      <c r="AH8" s="7" t="str">
        <f>Targets_UW[[#This Row],[AWA+Leeway]]-Targets_UW[[#This Row],[JibLead (deg)]]</f>
        <v>#ERROR!</v>
      </c>
    </row>
    <row r="9" ht="14.25" customHeight="1">
      <c r="A9" s="8" t="s">
        <v>34</v>
      </c>
      <c r="B9" s="9" t="s">
        <v>35</v>
      </c>
      <c r="C9" s="9" t="s">
        <v>36</v>
      </c>
      <c r="D9" s="9">
        <v>24.0</v>
      </c>
      <c r="E9" s="9" t="str">
        <f t="shared" si="1"/>
        <v>Foiling_HSB2_HSRW2-24m</v>
      </c>
      <c r="F9" s="9">
        <v>28.0</v>
      </c>
      <c r="G9" s="7" t="str">
        <f>ABS(Targets_UW[[#This Row],[BSP (km/h)]]*COS(RADIANS(Targets_UW[[#This Row],[TWA (deg)]]+Targets_UW[[#This Row],[LEEWAY (deg)]])))</f>
        <v>#ERROR!</v>
      </c>
      <c r="H9" s="7">
        <v>58.2745774272959</v>
      </c>
      <c r="I9" s="7">
        <v>48.4</v>
      </c>
      <c r="J9" s="7">
        <v>1.1</v>
      </c>
      <c r="K9" s="7">
        <v>-9.8</v>
      </c>
      <c r="L9" s="7">
        <v>1.8</v>
      </c>
      <c r="M9" s="7" t="str">
        <f>Targets_UW[[#This Row],[CANT (deg)]]-Targets_UW[[#This Row],[HEEL (deg)]]</f>
        <v>#ERROR!</v>
      </c>
      <c r="N9" s="7">
        <v>1120.0</v>
      </c>
      <c r="O9" s="7">
        <v>1.08</v>
      </c>
      <c r="P9" s="7">
        <v>4.75</v>
      </c>
      <c r="Q9" s="7">
        <v>-3.5</v>
      </c>
      <c r="R9" s="7">
        <v>-16.5</v>
      </c>
      <c r="S9" s="7" t="str">
        <f>Targets_UW[[#This Row],[CLEW (deg)]]-0.5*Targets_UW[[#This Row],[CA1 (deg)]]</f>
        <v>#ERROR!</v>
      </c>
      <c r="T9" s="7">
        <v>0.4</v>
      </c>
      <c r="U9" s="7">
        <v>30.5</v>
      </c>
      <c r="V9" s="7">
        <v>1800.0</v>
      </c>
      <c r="W9" s="7">
        <v>5.5</v>
      </c>
      <c r="X9" s="7">
        <v>1600.0</v>
      </c>
      <c r="Y9" s="7" t="str">
        <f>SQRT(Targets_UW[[#This Row],[TWS (km/h)]]^2+Targets_UW[[#This Row],[BSP (km/h)]]^2+2*Targets_UW[[#This Row],[TWS (km/h)]]*Targets_UW[[#This Row],[BSP (km/h)]]*COS(RADIANS(Targets_UW[[#This Row],[TWA (deg)]]+Targets_UW[[#This Row],[LEEWAY (deg)]])))</f>
        <v>#ERROR!</v>
      </c>
      <c r="Z9" s="7" t="str">
        <f>DEGREES(ASIN(Targets_UW[[#This Row],[TWS (km/h)]]*SIN(RADIANS(Targets_UW[[#This Row],[TWA (deg)]]+Targets_UW[[#This Row],[LEEWAY (deg)]]))/Targets_UW[[#This Row],[AWS]]))</f>
        <v>#ERROR!</v>
      </c>
      <c r="AA9" s="7" t="str">
        <f>Targets_UW[[#This Row],[AWA+Leeway]]-Targets_UW[[#This Row],[ROT (deg)]]</f>
        <v>#ERROR!</v>
      </c>
      <c r="AB9" s="7" t="str">
        <f>Targets_UW[[#This Row],[TWS (km/h)]]*(Targets_UW[[#This Row],[Wing]]/10)^0.1</f>
        <v>#ERROR!</v>
      </c>
      <c r="AC9" s="7" t="str">
        <f>SQRT(Targets_UW[[#This Row],[TWSTop]]^2+Targets_UW[[#This Row],[BSP (km/h)]]^2+2*Targets_UW[[#This Row],[BSP (km/h)]]*Targets_UW[[#This Row],[TWSTop]]*COS(RADIANS(Targets_UW[[#This Row],[TWA (deg)]]+Targets_UW[[#This Row],[LEEWAY (deg)]])))</f>
        <v>#ERROR!</v>
      </c>
      <c r="AD9" s="7" t="str">
        <f>DEGREES(ASIN(Targets_UW[[#This Row],[TWSTop]]*SIN(RADIANS(Targets_UW[[#This Row],[TWA (deg)]]+Targets_UW[[#This Row],[LEEWAY (deg)]]))/Targets_UW[[#This Row],[AWSTop]]))</f>
        <v>#ERROR!</v>
      </c>
      <c r="AE9" s="7" t="str">
        <f>Targets_UW[[#This Row],[AWA+Leeway Top]]-Targets_UW[[#This Row],[ROT (deg)]]</f>
        <v>#ERROR!</v>
      </c>
      <c r="AF9" s="7" t="str">
        <f>Targets_UW[[#This Row],[CLEW (deg)]]+Targets_UW[[#This Row],[TWIST (deg)]]</f>
        <v>#ERROR!</v>
      </c>
      <c r="AG9" s="10" t="str">
        <f>Targets_UW[[#This Row],[AWA+Leeway Top]]-Targets_UW[[#This Row],[CA6]]</f>
        <v>#ERROR!</v>
      </c>
      <c r="AH9" s="7" t="str">
        <f>Targets_UW[[#This Row],[AWA+Leeway]]-Targets_UW[[#This Row],[JibLead (deg)]]</f>
        <v>#ERROR!</v>
      </c>
    </row>
    <row r="10" ht="14.25" customHeight="1">
      <c r="A10" s="8" t="s">
        <v>34</v>
      </c>
      <c r="B10" s="9" t="s">
        <v>35</v>
      </c>
      <c r="C10" s="9" t="s">
        <v>36</v>
      </c>
      <c r="D10" s="9">
        <v>24.0</v>
      </c>
      <c r="E10" s="9" t="str">
        <f t="shared" si="1"/>
        <v>Foiling_HSB2_HSRW2-24m</v>
      </c>
      <c r="F10" s="9">
        <v>30.0</v>
      </c>
      <c r="G10" s="7" t="str">
        <f>ABS(Targets_UW[[#This Row],[BSP (km/h)]]*COS(RADIANS(Targets_UW[[#This Row],[TWA (deg)]]+Targets_UW[[#This Row],[LEEWAY (deg)]])))</f>
        <v>#ERROR!</v>
      </c>
      <c r="H10" s="7">
        <v>59.2648014899999</v>
      </c>
      <c r="I10" s="7">
        <v>48.1</v>
      </c>
      <c r="J10" s="7">
        <v>1.0</v>
      </c>
      <c r="K10" s="7">
        <v>-10.0</v>
      </c>
      <c r="L10" s="7">
        <v>1.5</v>
      </c>
      <c r="M10" s="7" t="str">
        <f>Targets_UW[[#This Row],[CANT (deg)]]-Targets_UW[[#This Row],[HEEL (deg)]]</f>
        <v>#ERROR!</v>
      </c>
      <c r="N10" s="7">
        <v>1110.0</v>
      </c>
      <c r="O10" s="7">
        <v>1.05</v>
      </c>
      <c r="P10" s="7">
        <v>4.6000000000000005</v>
      </c>
      <c r="Q10" s="7">
        <v>-3.5</v>
      </c>
      <c r="R10" s="7">
        <v>-16.3</v>
      </c>
      <c r="S10" s="7" t="str">
        <f>Targets_UW[[#This Row],[CLEW (deg)]]-0.5*Targets_UW[[#This Row],[CA1 (deg)]]</f>
        <v>#ERROR!</v>
      </c>
      <c r="T10" s="7">
        <v>0.65</v>
      </c>
      <c r="U10" s="7">
        <v>31.0</v>
      </c>
      <c r="V10" s="7">
        <v>1800.0</v>
      </c>
      <c r="W10" s="7">
        <v>5.5</v>
      </c>
      <c r="X10" s="7">
        <v>1600.0</v>
      </c>
      <c r="Y10" s="7" t="str">
        <f>SQRT(Targets_UW[[#This Row],[TWS (km/h)]]^2+Targets_UW[[#This Row],[BSP (km/h)]]^2+2*Targets_UW[[#This Row],[TWS (km/h)]]*Targets_UW[[#This Row],[BSP (km/h)]]*COS(RADIANS(Targets_UW[[#This Row],[TWA (deg)]]+Targets_UW[[#This Row],[LEEWAY (deg)]])))</f>
        <v>#ERROR!</v>
      </c>
      <c r="Z10" s="7" t="str">
        <f>DEGREES(ASIN(Targets_UW[[#This Row],[TWS (km/h)]]*SIN(RADIANS(Targets_UW[[#This Row],[TWA (deg)]]+Targets_UW[[#This Row],[LEEWAY (deg)]]))/Targets_UW[[#This Row],[AWS]]))</f>
        <v>#ERROR!</v>
      </c>
      <c r="AA10" s="7" t="str">
        <f>Targets_UW[[#This Row],[AWA+Leeway]]-Targets_UW[[#This Row],[ROT (deg)]]</f>
        <v>#ERROR!</v>
      </c>
      <c r="AB10" s="7" t="str">
        <f>Targets_UW[[#This Row],[TWS (km/h)]]*(Targets_UW[[#This Row],[Wing]]/10)^0.1</f>
        <v>#ERROR!</v>
      </c>
      <c r="AC10" s="7" t="str">
        <f>SQRT(Targets_UW[[#This Row],[TWSTop]]^2+Targets_UW[[#This Row],[BSP (km/h)]]^2+2*Targets_UW[[#This Row],[BSP (km/h)]]*Targets_UW[[#This Row],[TWSTop]]*COS(RADIANS(Targets_UW[[#This Row],[TWA (deg)]]+Targets_UW[[#This Row],[LEEWAY (deg)]])))</f>
        <v>#ERROR!</v>
      </c>
      <c r="AD10" s="7" t="str">
        <f>DEGREES(ASIN(Targets_UW[[#This Row],[TWSTop]]*SIN(RADIANS(Targets_UW[[#This Row],[TWA (deg)]]+Targets_UW[[#This Row],[LEEWAY (deg)]]))/Targets_UW[[#This Row],[AWSTop]]))</f>
        <v>#ERROR!</v>
      </c>
      <c r="AE10" s="7" t="str">
        <f>Targets_UW[[#This Row],[AWA+Leeway Top]]-Targets_UW[[#This Row],[ROT (deg)]]</f>
        <v>#ERROR!</v>
      </c>
      <c r="AF10" s="7" t="str">
        <f>Targets_UW[[#This Row],[CLEW (deg)]]+Targets_UW[[#This Row],[TWIST (deg)]]</f>
        <v>#ERROR!</v>
      </c>
      <c r="AG10" s="10" t="str">
        <f>Targets_UW[[#This Row],[AWA+Leeway Top]]-Targets_UW[[#This Row],[CA6]]</f>
        <v>#ERROR!</v>
      </c>
      <c r="AH10" s="7" t="str">
        <f>Targets_UW[[#This Row],[AWA+Leeway]]-Targets_UW[[#This Row],[JibLead (deg)]]</f>
        <v>#ERROR!</v>
      </c>
    </row>
    <row r="11" ht="14.25" customHeight="1">
      <c r="A11" s="8" t="s">
        <v>34</v>
      </c>
      <c r="B11" s="9" t="s">
        <v>35</v>
      </c>
      <c r="C11" s="9" t="s">
        <v>36</v>
      </c>
      <c r="D11" s="9">
        <v>24.0</v>
      </c>
      <c r="E11" s="9" t="str">
        <f t="shared" si="1"/>
        <v>Foiling_HSB2_HSRW2-24m</v>
      </c>
      <c r="F11" s="9">
        <v>32.0</v>
      </c>
      <c r="G11" s="7" t="str">
        <f>ABS(Targets_UW[[#This Row],[BSP (km/h)]]*COS(RADIANS(Targets_UW[[#This Row],[TWA (deg)]]+Targets_UW[[#This Row],[LEEWAY (deg)]])))</f>
        <v>#ERROR!</v>
      </c>
      <c r="H11" s="7">
        <v>60.146335167455895</v>
      </c>
      <c r="I11" s="7">
        <v>47.5</v>
      </c>
      <c r="J11" s="7">
        <v>0.9</v>
      </c>
      <c r="K11" s="7">
        <v>-10.0</v>
      </c>
      <c r="L11" s="7">
        <v>1.3</v>
      </c>
      <c r="M11" s="7" t="str">
        <f>Targets_UW[[#This Row],[CANT (deg)]]-Targets_UW[[#This Row],[HEEL (deg)]]</f>
        <v>#ERROR!</v>
      </c>
      <c r="N11" s="7">
        <v>1100.0</v>
      </c>
      <c r="O11" s="7">
        <v>1.03</v>
      </c>
      <c r="P11" s="7">
        <v>4.6000000000000005</v>
      </c>
      <c r="Q11" s="7">
        <v>-3.5</v>
      </c>
      <c r="R11" s="7">
        <v>-16.15</v>
      </c>
      <c r="S11" s="7" t="str">
        <f>Targets_UW[[#This Row],[CLEW (deg)]]-0.5*Targets_UW[[#This Row],[CA1 (deg)]]</f>
        <v>#ERROR!</v>
      </c>
      <c r="T11" s="7">
        <v>0.9416718800000701</v>
      </c>
      <c r="U11" s="7">
        <v>31.5</v>
      </c>
      <c r="V11" s="7">
        <v>1800.0</v>
      </c>
      <c r="W11" s="7">
        <v>5.5</v>
      </c>
      <c r="X11" s="7"/>
      <c r="Y11" s="7" t="str">
        <f>SQRT(Targets_UW[[#This Row],[TWS (km/h)]]^2+Targets_UW[[#This Row],[BSP (km/h)]]^2+2*Targets_UW[[#This Row],[TWS (km/h)]]*Targets_UW[[#This Row],[BSP (km/h)]]*COS(RADIANS(Targets_UW[[#This Row],[TWA (deg)]]+Targets_UW[[#This Row],[LEEWAY (deg)]])))</f>
        <v>#ERROR!</v>
      </c>
      <c r="Z11" s="7" t="str">
        <f>DEGREES(ASIN(Targets_UW[[#This Row],[TWS (km/h)]]*SIN(RADIANS(Targets_UW[[#This Row],[TWA (deg)]]+Targets_UW[[#This Row],[LEEWAY (deg)]]))/Targets_UW[[#This Row],[AWS]]))</f>
        <v>#ERROR!</v>
      </c>
      <c r="AA11" s="7" t="str">
        <f>Targets_UW[[#This Row],[AWA+Leeway]]-Targets_UW[[#This Row],[ROT (deg)]]</f>
        <v>#ERROR!</v>
      </c>
      <c r="AB11" s="7" t="str">
        <f>Targets_UW[[#This Row],[TWS (km/h)]]*(Targets_UW[[#This Row],[Wing]]/10)^0.1</f>
        <v>#ERROR!</v>
      </c>
      <c r="AC11" s="7" t="str">
        <f>SQRT(Targets_UW[[#This Row],[TWSTop]]^2+Targets_UW[[#This Row],[BSP (km/h)]]^2+2*Targets_UW[[#This Row],[BSP (km/h)]]*Targets_UW[[#This Row],[TWSTop]]*COS(RADIANS(Targets_UW[[#This Row],[TWA (deg)]]+Targets_UW[[#This Row],[LEEWAY (deg)]])))</f>
        <v>#ERROR!</v>
      </c>
      <c r="AD11" s="7" t="str">
        <f>DEGREES(ASIN(Targets_UW[[#This Row],[TWSTop]]*SIN(RADIANS(Targets_UW[[#This Row],[TWA (deg)]]+Targets_UW[[#This Row],[LEEWAY (deg)]]))/Targets_UW[[#This Row],[AWSTop]]))</f>
        <v>#ERROR!</v>
      </c>
      <c r="AE11" s="7" t="str">
        <f>Targets_UW[[#This Row],[AWA+Leeway Top]]-Targets_UW[[#This Row],[ROT (deg)]]</f>
        <v>#ERROR!</v>
      </c>
      <c r="AF11" s="7" t="str">
        <f>Targets_UW[[#This Row],[CLEW (deg)]]+Targets_UW[[#This Row],[TWIST (deg)]]</f>
        <v>#ERROR!</v>
      </c>
      <c r="AG11" s="10" t="str">
        <f>Targets_UW[[#This Row],[AWA+Leeway Top]]-Targets_UW[[#This Row],[CA6]]</f>
        <v>#ERROR!</v>
      </c>
      <c r="AH11" s="7" t="str">
        <f>Targets_UW[[#This Row],[AWA+Leeway]]-Targets_UW[[#This Row],[JibLead (deg)]]</f>
        <v>#ERROR!</v>
      </c>
    </row>
    <row r="12" ht="14.25" customHeight="1">
      <c r="A12" s="8" t="s">
        <v>34</v>
      </c>
      <c r="B12" s="9" t="s">
        <v>35</v>
      </c>
      <c r="C12" s="9" t="s">
        <v>36</v>
      </c>
      <c r="D12" s="9">
        <v>24.0</v>
      </c>
      <c r="E12" s="9" t="str">
        <f t="shared" si="1"/>
        <v>Foiling_HSB2_HSRW2-24m</v>
      </c>
      <c r="F12" s="9">
        <v>34.0</v>
      </c>
      <c r="G12" s="7" t="str">
        <f>ABS(Targets_UW[[#This Row],[BSP (km/h)]]*COS(RADIANS(Targets_UW[[#This Row],[TWA (deg)]]+Targets_UW[[#This Row],[LEEWAY (deg)]])))</f>
        <v>#ERROR!</v>
      </c>
      <c r="H12" s="7">
        <v>60.6</v>
      </c>
      <c r="I12" s="7">
        <v>46.8</v>
      </c>
      <c r="J12" s="7">
        <v>0.9</v>
      </c>
      <c r="K12" s="7">
        <v>-10.0</v>
      </c>
      <c r="L12" s="7">
        <v>1.2</v>
      </c>
      <c r="M12" s="7" t="str">
        <f>Targets_UW[[#This Row],[CANT (deg)]]-Targets_UW[[#This Row],[HEEL (deg)]]</f>
        <v>#ERROR!</v>
      </c>
      <c r="N12" s="7">
        <v>1100.0</v>
      </c>
      <c r="O12" s="7">
        <v>1.01</v>
      </c>
      <c r="P12" s="7">
        <v>4.6000000000000005</v>
      </c>
      <c r="Q12" s="7">
        <v>-3.5</v>
      </c>
      <c r="R12" s="7">
        <v>-16.0</v>
      </c>
      <c r="S12" s="7" t="str">
        <f>Targets_UW[[#This Row],[CLEW (deg)]]-0.5*Targets_UW[[#This Row],[CA1 (deg)]]</f>
        <v>#ERROR!</v>
      </c>
      <c r="T12" s="7">
        <v>1.4</v>
      </c>
      <c r="U12" s="7">
        <v>32.0</v>
      </c>
      <c r="V12" s="7">
        <v>1800.0</v>
      </c>
      <c r="W12" s="7">
        <v>5.5</v>
      </c>
      <c r="X12" s="7"/>
      <c r="Y12" s="7" t="str">
        <f>SQRT(Targets_UW[[#This Row],[TWS (km/h)]]^2+Targets_UW[[#This Row],[BSP (km/h)]]^2+2*Targets_UW[[#This Row],[TWS (km/h)]]*Targets_UW[[#This Row],[BSP (km/h)]]*COS(RADIANS(Targets_UW[[#This Row],[TWA (deg)]]+Targets_UW[[#This Row],[LEEWAY (deg)]])))</f>
        <v>#ERROR!</v>
      </c>
      <c r="Z12" s="7" t="str">
        <f>DEGREES(ASIN(Targets_UW[[#This Row],[TWS (km/h)]]*SIN(RADIANS(Targets_UW[[#This Row],[TWA (deg)]]+Targets_UW[[#This Row],[LEEWAY (deg)]]))/Targets_UW[[#This Row],[AWS]]))</f>
        <v>#ERROR!</v>
      </c>
      <c r="AA12" s="7" t="str">
        <f>Targets_UW[[#This Row],[AWA+Leeway]]-Targets_UW[[#This Row],[ROT (deg)]]</f>
        <v>#ERROR!</v>
      </c>
      <c r="AB12" s="7" t="str">
        <f>Targets_UW[[#This Row],[TWS (km/h)]]*(Targets_UW[[#This Row],[Wing]]/10)^0.1</f>
        <v>#ERROR!</v>
      </c>
      <c r="AC12" s="7" t="str">
        <f>SQRT(Targets_UW[[#This Row],[TWSTop]]^2+Targets_UW[[#This Row],[BSP (km/h)]]^2+2*Targets_UW[[#This Row],[BSP (km/h)]]*Targets_UW[[#This Row],[TWSTop]]*COS(RADIANS(Targets_UW[[#This Row],[TWA (deg)]]+Targets_UW[[#This Row],[LEEWAY (deg)]])))</f>
        <v>#ERROR!</v>
      </c>
      <c r="AD12" s="7" t="str">
        <f>DEGREES(ASIN(Targets_UW[[#This Row],[TWSTop]]*SIN(RADIANS(Targets_UW[[#This Row],[TWA (deg)]]+Targets_UW[[#This Row],[LEEWAY (deg)]]))/Targets_UW[[#This Row],[AWSTop]]))</f>
        <v>#ERROR!</v>
      </c>
      <c r="AE12" s="7" t="str">
        <f>Targets_UW[[#This Row],[AWA+Leeway Top]]-Targets_UW[[#This Row],[ROT (deg)]]</f>
        <v>#ERROR!</v>
      </c>
      <c r="AF12" s="7" t="str">
        <f>Targets_UW[[#This Row],[CLEW (deg)]]+Targets_UW[[#This Row],[TWIST (deg)]]</f>
        <v>#ERROR!</v>
      </c>
      <c r="AG12" s="10" t="str">
        <f>Targets_UW[[#This Row],[AWA+Leeway Top]]-Targets_UW[[#This Row],[CA6]]</f>
        <v>#ERROR!</v>
      </c>
      <c r="AH12" s="7" t="str">
        <f>Targets_UW[[#This Row],[AWA+Leeway]]-Targets_UW[[#This Row],[JibLead (deg)]]</f>
        <v>#ERROR!</v>
      </c>
    </row>
    <row r="13" ht="14.25" customHeight="1">
      <c r="A13" s="8" t="s">
        <v>34</v>
      </c>
      <c r="B13" s="9" t="s">
        <v>35</v>
      </c>
      <c r="C13" s="9" t="s">
        <v>36</v>
      </c>
      <c r="D13" s="9">
        <v>24.0</v>
      </c>
      <c r="E13" s="9" t="str">
        <f t="shared" si="1"/>
        <v>Foiling_HSB2_HSRW2-24m</v>
      </c>
      <c r="F13" s="9">
        <v>36.0</v>
      </c>
      <c r="G13" s="7" t="str">
        <f>ABS(Targets_UW[[#This Row],[BSP (km/h)]]*COS(RADIANS(Targets_UW[[#This Row],[TWA (deg)]]+Targets_UW[[#This Row],[LEEWAY (deg)]])))</f>
        <v>#ERROR!</v>
      </c>
      <c r="H13" s="7">
        <v>61.1</v>
      </c>
      <c r="I13" s="7">
        <v>46.1</v>
      </c>
      <c r="J13" s="7">
        <v>1.0</v>
      </c>
      <c r="K13" s="7">
        <v>-10.0</v>
      </c>
      <c r="L13" s="7">
        <v>1.1</v>
      </c>
      <c r="M13" s="7" t="str">
        <f>Targets_UW[[#This Row],[CANT (deg)]]-Targets_UW[[#This Row],[HEEL (deg)]]</f>
        <v>#ERROR!</v>
      </c>
      <c r="N13" s="7">
        <v>1100.0</v>
      </c>
      <c r="O13" s="7">
        <v>1.0</v>
      </c>
      <c r="P13" s="7">
        <v>4.6</v>
      </c>
      <c r="Q13" s="7">
        <v>-3.4</v>
      </c>
      <c r="R13" s="7">
        <v>-15.95</v>
      </c>
      <c r="S13" s="7" t="str">
        <f>Targets_UW[[#This Row],[CLEW (deg)]]-0.5*Targets_UW[[#This Row],[CA1 (deg)]]</f>
        <v>#ERROR!</v>
      </c>
      <c r="T13" s="7">
        <v>1.6</v>
      </c>
      <c r="U13" s="7">
        <v>32.0</v>
      </c>
      <c r="V13" s="7">
        <v>1800.0</v>
      </c>
      <c r="W13" s="7">
        <v>5.5</v>
      </c>
      <c r="X13" s="7"/>
      <c r="Y13" s="7" t="str">
        <f>SQRT(Targets_UW[[#This Row],[TWS (km/h)]]^2+Targets_UW[[#This Row],[BSP (km/h)]]^2+2*Targets_UW[[#This Row],[TWS (km/h)]]*Targets_UW[[#This Row],[BSP (km/h)]]*COS(RADIANS(Targets_UW[[#This Row],[TWA (deg)]]+Targets_UW[[#This Row],[LEEWAY (deg)]])))</f>
        <v>#ERROR!</v>
      </c>
      <c r="Z13" s="7" t="str">
        <f>DEGREES(ASIN(Targets_UW[[#This Row],[TWS (km/h)]]*SIN(RADIANS(Targets_UW[[#This Row],[TWA (deg)]]+Targets_UW[[#This Row],[LEEWAY (deg)]]))/Targets_UW[[#This Row],[AWS]]))</f>
        <v>#ERROR!</v>
      </c>
      <c r="AA13" s="7" t="str">
        <f>Targets_UW[[#This Row],[AWA+Leeway]]-Targets_UW[[#This Row],[ROT (deg)]]</f>
        <v>#ERROR!</v>
      </c>
      <c r="AB13" s="7" t="str">
        <f>Targets_UW[[#This Row],[TWS (km/h)]]*(Targets_UW[[#This Row],[Wing]]/10)^0.1</f>
        <v>#ERROR!</v>
      </c>
      <c r="AC13" s="7" t="str">
        <f>SQRT(Targets_UW[[#This Row],[TWSTop]]^2+Targets_UW[[#This Row],[BSP (km/h)]]^2+2*Targets_UW[[#This Row],[BSP (km/h)]]*Targets_UW[[#This Row],[TWSTop]]*COS(RADIANS(Targets_UW[[#This Row],[TWA (deg)]]+Targets_UW[[#This Row],[LEEWAY (deg)]])))</f>
        <v>#ERROR!</v>
      </c>
      <c r="AD13" s="7" t="str">
        <f>DEGREES(ASIN(Targets_UW[[#This Row],[TWSTop]]*SIN(RADIANS(Targets_UW[[#This Row],[TWA (deg)]]+Targets_UW[[#This Row],[LEEWAY (deg)]]))/Targets_UW[[#This Row],[AWSTop]]))</f>
        <v>#ERROR!</v>
      </c>
      <c r="AE13" s="7" t="str">
        <f>Targets_UW[[#This Row],[AWA+Leeway Top]]-Targets_UW[[#This Row],[ROT (deg)]]</f>
        <v>#ERROR!</v>
      </c>
      <c r="AF13" s="7" t="str">
        <f>Targets_UW[[#This Row],[CLEW (deg)]]+Targets_UW[[#This Row],[TWIST (deg)]]</f>
        <v>#ERROR!</v>
      </c>
      <c r="AG13" s="10" t="str">
        <f>Targets_UW[[#This Row],[AWA+Leeway Top]]-Targets_UW[[#This Row],[CA6]]</f>
        <v>#ERROR!</v>
      </c>
      <c r="AH13" s="7" t="str">
        <f>Targets_UW[[#This Row],[AWA+Leeway]]-Targets_UW[[#This Row],[JibLead (deg)]]</f>
        <v>#ERROR!</v>
      </c>
    </row>
    <row r="14" ht="14.25" customHeight="1">
      <c r="A14" s="8" t="s">
        <v>34</v>
      </c>
      <c r="B14" s="9" t="s">
        <v>35</v>
      </c>
      <c r="C14" s="9" t="s">
        <v>36</v>
      </c>
      <c r="D14" s="9">
        <v>24.0</v>
      </c>
      <c r="E14" s="9" t="str">
        <f t="shared" si="1"/>
        <v>Foiling_HSB2_HSRW2-24m</v>
      </c>
      <c r="F14" s="9">
        <v>38.0</v>
      </c>
      <c r="G14" s="7" t="str">
        <f>ABS(Targets_UW[[#This Row],[BSP (km/h)]]*COS(RADIANS(Targets_UW[[#This Row],[TWA (deg)]]+Targets_UW[[#This Row],[LEEWAY (deg)]])))</f>
        <v>#ERROR!</v>
      </c>
      <c r="H14" s="7">
        <v>61.6</v>
      </c>
      <c r="I14" s="7">
        <v>45.2</v>
      </c>
      <c r="J14" s="7">
        <v>1.1</v>
      </c>
      <c r="K14" s="7">
        <v>-10.0</v>
      </c>
      <c r="L14" s="7">
        <v>1.0</v>
      </c>
      <c r="M14" s="7" t="str">
        <f>Targets_UW[[#This Row],[CANT (deg)]]-Targets_UW[[#This Row],[HEEL (deg)]]</f>
        <v>#ERROR!</v>
      </c>
      <c r="N14" s="7">
        <v>1100.0</v>
      </c>
      <c r="O14" s="7">
        <v>0.98</v>
      </c>
      <c r="P14" s="7">
        <v>4.6499999999999995</v>
      </c>
      <c r="Q14" s="7">
        <v>-3.4</v>
      </c>
      <c r="R14" s="7">
        <v>-15.899999999999999</v>
      </c>
      <c r="S14" s="7" t="str">
        <f>Targets_UW[[#This Row],[CLEW (deg)]]-0.5*Targets_UW[[#This Row],[CA1 (deg)]]</f>
        <v>#ERROR!</v>
      </c>
      <c r="T14" s="7">
        <v>1.9</v>
      </c>
      <c r="U14" s="7">
        <v>32.0</v>
      </c>
      <c r="V14" s="7">
        <v>1800.0</v>
      </c>
      <c r="W14" s="7">
        <v>5.75</v>
      </c>
      <c r="X14" s="7"/>
      <c r="Y14" s="7" t="str">
        <f>SQRT(Targets_UW[[#This Row],[TWS (km/h)]]^2+Targets_UW[[#This Row],[BSP (km/h)]]^2+2*Targets_UW[[#This Row],[TWS (km/h)]]*Targets_UW[[#This Row],[BSP (km/h)]]*COS(RADIANS(Targets_UW[[#This Row],[TWA (deg)]]+Targets_UW[[#This Row],[LEEWAY (deg)]])))</f>
        <v>#ERROR!</v>
      </c>
      <c r="Z14" s="7" t="str">
        <f>DEGREES(ASIN(Targets_UW[[#This Row],[TWS (km/h)]]*SIN(RADIANS(Targets_UW[[#This Row],[TWA (deg)]]+Targets_UW[[#This Row],[LEEWAY (deg)]]))/Targets_UW[[#This Row],[AWS]]))</f>
        <v>#ERROR!</v>
      </c>
      <c r="AA14" s="7" t="str">
        <f>Targets_UW[[#This Row],[AWA+Leeway]]-Targets_UW[[#This Row],[ROT (deg)]]</f>
        <v>#ERROR!</v>
      </c>
      <c r="AB14" s="7" t="str">
        <f>Targets_UW[[#This Row],[TWS (km/h)]]*(Targets_UW[[#This Row],[Wing]]/10)^0.1</f>
        <v>#ERROR!</v>
      </c>
      <c r="AC14" s="7" t="str">
        <f>SQRT(Targets_UW[[#This Row],[TWSTop]]^2+Targets_UW[[#This Row],[BSP (km/h)]]^2+2*Targets_UW[[#This Row],[BSP (km/h)]]*Targets_UW[[#This Row],[TWSTop]]*COS(RADIANS(Targets_UW[[#This Row],[TWA (deg)]]+Targets_UW[[#This Row],[LEEWAY (deg)]])))</f>
        <v>#ERROR!</v>
      </c>
      <c r="AD14" s="7" t="str">
        <f>DEGREES(ASIN(Targets_UW[[#This Row],[TWSTop]]*SIN(RADIANS(Targets_UW[[#This Row],[TWA (deg)]]+Targets_UW[[#This Row],[LEEWAY (deg)]]))/Targets_UW[[#This Row],[AWSTop]]))</f>
        <v>#ERROR!</v>
      </c>
      <c r="AE14" s="7" t="str">
        <f>Targets_UW[[#This Row],[AWA+Leeway Top]]-Targets_UW[[#This Row],[ROT (deg)]]</f>
        <v>#ERROR!</v>
      </c>
      <c r="AF14" s="7" t="str">
        <f>Targets_UW[[#This Row],[CLEW (deg)]]+Targets_UW[[#This Row],[TWIST (deg)]]</f>
        <v>#ERROR!</v>
      </c>
      <c r="AG14" s="10" t="str">
        <f>Targets_UW[[#This Row],[AWA+Leeway Top]]-Targets_UW[[#This Row],[CA6]]</f>
        <v>#ERROR!</v>
      </c>
      <c r="AH14" s="7" t="str">
        <f>Targets_UW[[#This Row],[AWA+Leeway]]-Targets_UW[[#This Row],[JibLead (deg)]]</f>
        <v>#ERROR!</v>
      </c>
    </row>
    <row r="15" ht="14.25" customHeight="1">
      <c r="A15" s="11" t="s">
        <v>34</v>
      </c>
      <c r="B15" s="12" t="s">
        <v>35</v>
      </c>
      <c r="C15" s="12" t="s">
        <v>36</v>
      </c>
      <c r="D15" s="12">
        <v>24.0</v>
      </c>
      <c r="E15" s="12" t="str">
        <f t="shared" si="1"/>
        <v>Foiling_HSB2_HSRW2-24m</v>
      </c>
      <c r="F15" s="12">
        <v>40.0</v>
      </c>
      <c r="G15" s="13" t="str">
        <f>ABS(Targets_UW[[#This Row],[BSP (km/h)]]*COS(RADIANS(Targets_UW[[#This Row],[TWA (deg)]]+Targets_UW[[#This Row],[LEEWAY (deg)]])))</f>
        <v>#ERROR!</v>
      </c>
      <c r="H15" s="13">
        <v>62.0</v>
      </c>
      <c r="I15" s="13">
        <v>44.6</v>
      </c>
      <c r="J15" s="13">
        <v>1.3</v>
      </c>
      <c r="K15" s="13">
        <v>-10.0</v>
      </c>
      <c r="L15" s="13">
        <v>0.85</v>
      </c>
      <c r="M15" s="13" t="str">
        <f>Targets_UW[[#This Row],[CANT (deg)]]-Targets_UW[[#This Row],[HEEL (deg)]]</f>
        <v>#ERROR!</v>
      </c>
      <c r="N15" s="7">
        <v>1100.0</v>
      </c>
      <c r="O15" s="13">
        <v>0.97</v>
      </c>
      <c r="P15" s="13">
        <v>4.6</v>
      </c>
      <c r="Q15" s="13">
        <v>-3.3</v>
      </c>
      <c r="R15" s="13">
        <v>-15.7</v>
      </c>
      <c r="S15" s="13" t="str">
        <f>Targets_UW[[#This Row],[CLEW (deg)]]-0.5*Targets_UW[[#This Row],[CA1 (deg)]]</f>
        <v>#ERROR!</v>
      </c>
      <c r="T15" s="13">
        <v>2.2</v>
      </c>
      <c r="U15" s="13">
        <v>32.0</v>
      </c>
      <c r="V15" s="13">
        <v>1800.0</v>
      </c>
      <c r="W15" s="13">
        <v>6.0</v>
      </c>
      <c r="X15" s="13"/>
      <c r="Y15" s="13" t="str">
        <f>SQRT(Targets_UW[[#This Row],[TWS (km/h)]]^2+Targets_UW[[#This Row],[BSP (km/h)]]^2+2*Targets_UW[[#This Row],[TWS (km/h)]]*Targets_UW[[#This Row],[BSP (km/h)]]*COS(RADIANS(Targets_UW[[#This Row],[TWA (deg)]]+Targets_UW[[#This Row],[LEEWAY (deg)]])))</f>
        <v>#ERROR!</v>
      </c>
      <c r="Z15" s="13" t="str">
        <f>DEGREES(ASIN(Targets_UW[[#This Row],[TWS (km/h)]]*SIN(RADIANS(Targets_UW[[#This Row],[TWA (deg)]]+Targets_UW[[#This Row],[LEEWAY (deg)]]))/Targets_UW[[#This Row],[AWS]]))</f>
        <v>#ERROR!</v>
      </c>
      <c r="AA15" s="13" t="str">
        <f>Targets_UW[[#This Row],[AWA+Leeway]]-Targets_UW[[#This Row],[ROT (deg)]]</f>
        <v>#ERROR!</v>
      </c>
      <c r="AB15" s="13" t="str">
        <f>Targets_UW[[#This Row],[TWS (km/h)]]*(Targets_UW[[#This Row],[Wing]]/10)^0.1</f>
        <v>#ERROR!</v>
      </c>
      <c r="AC15" s="13" t="str">
        <f>SQRT(Targets_UW[[#This Row],[TWSTop]]^2+Targets_UW[[#This Row],[BSP (km/h)]]^2+2*Targets_UW[[#This Row],[BSP (km/h)]]*Targets_UW[[#This Row],[TWSTop]]*COS(RADIANS(Targets_UW[[#This Row],[TWA (deg)]]+Targets_UW[[#This Row],[LEEWAY (deg)]])))</f>
        <v>#ERROR!</v>
      </c>
      <c r="AD15" s="13" t="str">
        <f>DEGREES(ASIN(Targets_UW[[#This Row],[TWSTop]]*SIN(RADIANS(Targets_UW[[#This Row],[TWA (deg)]]+Targets_UW[[#This Row],[LEEWAY (deg)]]))/Targets_UW[[#This Row],[AWSTop]]))</f>
        <v>#ERROR!</v>
      </c>
      <c r="AE15" s="13" t="str">
        <f>Targets_UW[[#This Row],[AWA+Leeway Top]]-Targets_UW[[#This Row],[ROT (deg)]]</f>
        <v>#ERROR!</v>
      </c>
      <c r="AF15" s="13" t="str">
        <f>Targets_UW[[#This Row],[CLEW (deg)]]+Targets_UW[[#This Row],[TWIST (deg)]]</f>
        <v>#ERROR!</v>
      </c>
      <c r="AG15" s="14" t="str">
        <f>Targets_UW[[#This Row],[AWA+Leeway Top]]-Targets_UW[[#This Row],[CA6]]</f>
        <v>#ERROR!</v>
      </c>
      <c r="AH15" s="7" t="str">
        <f>Targets_UW[[#This Row],[AWA+Leeway]]-Targets_UW[[#This Row],[JibLead (deg)]]</f>
        <v>#ERROR!</v>
      </c>
    </row>
    <row r="16" ht="14.25" customHeight="1">
      <c r="A16" s="3" t="s">
        <v>34</v>
      </c>
      <c r="B16" s="4" t="s">
        <v>35</v>
      </c>
      <c r="C16" s="4" t="s">
        <v>36</v>
      </c>
      <c r="D16" s="4">
        <v>18.0</v>
      </c>
      <c r="E16" s="4" t="str">
        <f t="shared" si="1"/>
        <v>Foiling_HSB2_HSRW2-18m</v>
      </c>
      <c r="F16" s="4">
        <v>20.0</v>
      </c>
      <c r="G16" s="5" t="str">
        <f>ABS(Targets_UW[[#This Row],[BSP (km/h)]]*COS(RADIANS(Targets_UW[[#This Row],[TWA (deg)]]+Targets_UW[[#This Row],[LEEWAY (deg)]])))</f>
        <v>#ERROR!</v>
      </c>
      <c r="H16" s="5">
        <v>49.0</v>
      </c>
      <c r="I16" s="5">
        <v>55.0</v>
      </c>
      <c r="J16" s="5">
        <v>2.0</v>
      </c>
      <c r="K16" s="5">
        <v>-1.0</v>
      </c>
      <c r="L16" s="5">
        <v>3.0</v>
      </c>
      <c r="M16" s="5" t="str">
        <f>Targets_UW[[#This Row],[CANT (deg)]]-Targets_UW[[#This Row],[HEEL (deg)]]</f>
        <v>#ERROR!</v>
      </c>
      <c r="N16" s="5">
        <v>1200.0</v>
      </c>
      <c r="O16" s="5">
        <v>1.4</v>
      </c>
      <c r="P16" s="5">
        <v>5.3</v>
      </c>
      <c r="Q16" s="5">
        <v>-3.2</v>
      </c>
      <c r="R16" s="5">
        <v>-20.0</v>
      </c>
      <c r="S16" s="5" t="str">
        <f>Targets_UW[[#This Row],[CLEW (deg)]]-0.5*Targets_UW[[#This Row],[CA1 (deg)]]</f>
        <v>#ERROR!</v>
      </c>
      <c r="T16" s="5">
        <v>-2.5</v>
      </c>
      <c r="U16" s="5">
        <v>14.0</v>
      </c>
      <c r="V16" s="5">
        <v>1000.0</v>
      </c>
      <c r="W16" s="5">
        <v>5.0</v>
      </c>
      <c r="X16" s="5">
        <v>800.0</v>
      </c>
      <c r="Y16" s="5" t="str">
        <f>SQRT(Targets_UW[[#This Row],[TWS (km/h)]]^2+Targets_UW[[#This Row],[BSP (km/h)]]^2+2*Targets_UW[[#This Row],[TWS (km/h)]]*Targets_UW[[#This Row],[BSP (km/h)]]*COS(RADIANS(Targets_UW[[#This Row],[TWA (deg)]]+Targets_UW[[#This Row],[LEEWAY (deg)]])))</f>
        <v>#ERROR!</v>
      </c>
      <c r="Z16" s="5" t="str">
        <f>DEGREES(ASIN(Targets_UW[[#This Row],[TWS (km/h)]]*SIN(RADIANS(Targets_UW[[#This Row],[TWA (deg)]]+Targets_UW[[#This Row],[LEEWAY (deg)]]))/Targets_UW[[#This Row],[AWS]]))</f>
        <v>#ERROR!</v>
      </c>
      <c r="AA16" s="5" t="str">
        <f>Targets_UW[[#This Row],[AWA+Leeway]]-Targets_UW[[#This Row],[ROT (deg)]]</f>
        <v>#ERROR!</v>
      </c>
      <c r="AB16" s="5" t="str">
        <f>Targets_UW[[#This Row],[TWS (km/h)]]*(Targets_UW[[#This Row],[Wing]]/10)^0.1</f>
        <v>#ERROR!</v>
      </c>
      <c r="AC16" s="5" t="str">
        <f>SQRT(Targets_UW[[#This Row],[TWSTop]]^2+Targets_UW[[#This Row],[BSP (km/h)]]^2+2*Targets_UW[[#This Row],[BSP (km/h)]]*Targets_UW[[#This Row],[TWSTop]]*COS(RADIANS(Targets_UW[[#This Row],[TWA (deg)]]+Targets_UW[[#This Row],[LEEWAY (deg)]])))</f>
        <v>#ERROR!</v>
      </c>
      <c r="AD16" s="5" t="str">
        <f>DEGREES(ASIN(Targets_UW[[#This Row],[TWSTop]]*SIN(RADIANS(Targets_UW[[#This Row],[TWA (deg)]]+Targets_UW[[#This Row],[LEEWAY (deg)]]))/Targets_UW[[#This Row],[AWSTop]]))</f>
        <v>#ERROR!</v>
      </c>
      <c r="AE16" s="5" t="str">
        <f>Targets_UW[[#This Row],[AWA+Leeway Top]]-Targets_UW[[#This Row],[ROT (deg)]]</f>
        <v>#ERROR!</v>
      </c>
      <c r="AF16" s="5" t="str">
        <f>Targets_UW[[#This Row],[CLEW (deg)]]+Targets_UW[[#This Row],[TWIST (deg)]]</f>
        <v>#ERROR!</v>
      </c>
      <c r="AG16" s="6" t="str">
        <f>Targets_UW[[#This Row],[AWA+Leeway Top]]-Targets_UW[[#This Row],[CA6]]</f>
        <v>#ERROR!</v>
      </c>
      <c r="AH16" s="7" t="str">
        <f>Targets_UW[[#This Row],[AWA+Leeway]]-Targets_UW[[#This Row],[JibLead (deg)]]</f>
        <v>#ERROR!</v>
      </c>
    </row>
    <row r="17" ht="14.25" customHeight="1">
      <c r="A17" s="8" t="s">
        <v>34</v>
      </c>
      <c r="B17" s="9" t="s">
        <v>35</v>
      </c>
      <c r="C17" s="9" t="s">
        <v>36</v>
      </c>
      <c r="D17" s="9">
        <v>18.0</v>
      </c>
      <c r="E17" s="9" t="str">
        <f t="shared" si="1"/>
        <v>Foiling_HSB2_HSRW2-18m</v>
      </c>
      <c r="F17" s="9">
        <v>22.0</v>
      </c>
      <c r="G17" s="7" t="str">
        <f>ABS(Targets_UW[[#This Row],[BSP (km/h)]]*COS(RADIANS(Targets_UW[[#This Row],[TWA (deg)]]+Targets_UW[[#This Row],[LEEWAY (deg)]])))</f>
        <v>#ERROR!</v>
      </c>
      <c r="H17" s="7">
        <v>51.3</v>
      </c>
      <c r="I17" s="7">
        <v>53.0</v>
      </c>
      <c r="J17" s="7">
        <v>1.5</v>
      </c>
      <c r="K17" s="7">
        <v>-5.0</v>
      </c>
      <c r="L17" s="7">
        <v>2.7</v>
      </c>
      <c r="M17" s="7" t="str">
        <f>Targets_UW[[#This Row],[CANT (deg)]]-Targets_UW[[#This Row],[HEEL (deg)]]</f>
        <v>#ERROR!</v>
      </c>
      <c r="N17" s="7">
        <v>1180.0</v>
      </c>
      <c r="O17" s="7">
        <v>1.3</v>
      </c>
      <c r="P17" s="7">
        <v>4.9</v>
      </c>
      <c r="Q17" s="7">
        <v>-3.2</v>
      </c>
      <c r="R17" s="7">
        <v>-18.5</v>
      </c>
      <c r="S17" s="7" t="str">
        <f>Targets_UW[[#This Row],[CLEW (deg)]]-0.5*Targets_UW[[#This Row],[CA1 (deg)]]</f>
        <v>#ERROR!</v>
      </c>
      <c r="T17" s="7">
        <v>-2.0</v>
      </c>
      <c r="U17" s="7">
        <v>17.0</v>
      </c>
      <c r="V17" s="7">
        <v>1200.0</v>
      </c>
      <c r="W17" s="7">
        <v>5.1</v>
      </c>
      <c r="X17" s="7">
        <v>1000.0</v>
      </c>
      <c r="Y17" s="7" t="str">
        <f>SQRT(Targets_UW[[#This Row],[TWS (km/h)]]^2+Targets_UW[[#This Row],[BSP (km/h)]]^2+2*Targets_UW[[#This Row],[TWS (km/h)]]*Targets_UW[[#This Row],[BSP (km/h)]]*COS(RADIANS(Targets_UW[[#This Row],[TWA (deg)]]+Targets_UW[[#This Row],[LEEWAY (deg)]])))</f>
        <v>#ERROR!</v>
      </c>
      <c r="Z17" s="7" t="str">
        <f>DEGREES(ASIN(Targets_UW[[#This Row],[TWS (km/h)]]*SIN(RADIANS(Targets_UW[[#This Row],[TWA (deg)]]+Targets_UW[[#This Row],[LEEWAY (deg)]]))/Targets_UW[[#This Row],[AWS]]))</f>
        <v>#ERROR!</v>
      </c>
      <c r="AA17" s="7" t="str">
        <f>Targets_UW[[#This Row],[AWA+Leeway]]-Targets_UW[[#This Row],[ROT (deg)]]</f>
        <v>#ERROR!</v>
      </c>
      <c r="AB17" s="7" t="str">
        <f>Targets_UW[[#This Row],[TWS (km/h)]]*(Targets_UW[[#This Row],[Wing]]/10)^0.1</f>
        <v>#ERROR!</v>
      </c>
      <c r="AC17" s="7" t="str">
        <f>SQRT(Targets_UW[[#This Row],[TWSTop]]^2+Targets_UW[[#This Row],[BSP (km/h)]]^2+2*Targets_UW[[#This Row],[BSP (km/h)]]*Targets_UW[[#This Row],[TWSTop]]*COS(RADIANS(Targets_UW[[#This Row],[TWA (deg)]]+Targets_UW[[#This Row],[LEEWAY (deg)]])))</f>
        <v>#ERROR!</v>
      </c>
      <c r="AD17" s="7" t="str">
        <f>DEGREES(ASIN(Targets_UW[[#This Row],[TWSTop]]*SIN(RADIANS(Targets_UW[[#This Row],[TWA (deg)]]+Targets_UW[[#This Row],[LEEWAY (deg)]]))/Targets_UW[[#This Row],[AWSTop]]))</f>
        <v>#ERROR!</v>
      </c>
      <c r="AE17" s="7" t="str">
        <f>Targets_UW[[#This Row],[AWA+Leeway Top]]-Targets_UW[[#This Row],[ROT (deg)]]</f>
        <v>#ERROR!</v>
      </c>
      <c r="AF17" s="7" t="str">
        <f>Targets_UW[[#This Row],[CLEW (deg)]]+Targets_UW[[#This Row],[TWIST (deg)]]</f>
        <v>#ERROR!</v>
      </c>
      <c r="AG17" s="10" t="str">
        <f>Targets_UW[[#This Row],[AWA+Leeway Top]]-Targets_UW[[#This Row],[CA6]]</f>
        <v>#ERROR!</v>
      </c>
      <c r="AH17" s="7" t="str">
        <f>Targets_UW[[#This Row],[AWA+Leeway]]-Targets_UW[[#This Row],[JibLead (deg)]]</f>
        <v>#ERROR!</v>
      </c>
    </row>
    <row r="18" ht="14.25" customHeight="1">
      <c r="A18" s="8" t="s">
        <v>34</v>
      </c>
      <c r="B18" s="9" t="s">
        <v>35</v>
      </c>
      <c r="C18" s="9" t="s">
        <v>36</v>
      </c>
      <c r="D18" s="9">
        <v>18.0</v>
      </c>
      <c r="E18" s="9" t="str">
        <f t="shared" si="1"/>
        <v>Foiling_HSB2_HSRW2-18m</v>
      </c>
      <c r="F18" s="9">
        <v>24.0</v>
      </c>
      <c r="G18" s="7" t="str">
        <f>ABS(Targets_UW[[#This Row],[BSP (km/h)]]*COS(RADIANS(Targets_UW[[#This Row],[TWA (deg)]]+Targets_UW[[#This Row],[LEEWAY (deg)]])))</f>
        <v>#ERROR!</v>
      </c>
      <c r="H18" s="7">
        <v>54.5</v>
      </c>
      <c r="I18" s="7">
        <v>51.0</v>
      </c>
      <c r="J18" s="7">
        <v>1.2</v>
      </c>
      <c r="K18" s="7">
        <v>-8.0</v>
      </c>
      <c r="L18" s="7">
        <v>2.4</v>
      </c>
      <c r="M18" s="7" t="str">
        <f>Targets_UW[[#This Row],[CANT (deg)]]-Targets_UW[[#This Row],[HEEL (deg)]]</f>
        <v>#ERROR!</v>
      </c>
      <c r="N18" s="7">
        <v>1160.0</v>
      </c>
      <c r="O18" s="7">
        <v>1.25</v>
      </c>
      <c r="P18" s="7">
        <v>4.5</v>
      </c>
      <c r="Q18" s="7">
        <v>-3.2</v>
      </c>
      <c r="R18" s="7">
        <v>-17.5</v>
      </c>
      <c r="S18" s="7" t="str">
        <f>Targets_UW[[#This Row],[CLEW (deg)]]-0.5*Targets_UW[[#This Row],[CA1 (deg)]]</f>
        <v>#ERROR!</v>
      </c>
      <c r="T18" s="7">
        <v>-1.5</v>
      </c>
      <c r="U18" s="7">
        <v>19.0</v>
      </c>
      <c r="V18" s="7">
        <v>1400.0</v>
      </c>
      <c r="W18" s="7">
        <v>5.2</v>
      </c>
      <c r="X18" s="7">
        <v>1200.0</v>
      </c>
      <c r="Y18" s="7" t="str">
        <f>SQRT(Targets_UW[[#This Row],[TWS (km/h)]]^2+Targets_UW[[#This Row],[BSP (km/h)]]^2+2*Targets_UW[[#This Row],[TWS (km/h)]]*Targets_UW[[#This Row],[BSP (km/h)]]*COS(RADIANS(Targets_UW[[#This Row],[TWA (deg)]]+Targets_UW[[#This Row],[LEEWAY (deg)]])))</f>
        <v>#ERROR!</v>
      </c>
      <c r="Z18" s="7" t="str">
        <f>DEGREES(ASIN(Targets_UW[[#This Row],[TWS (km/h)]]*SIN(RADIANS(Targets_UW[[#This Row],[TWA (deg)]]+Targets_UW[[#This Row],[LEEWAY (deg)]]))/Targets_UW[[#This Row],[AWS]]))</f>
        <v>#ERROR!</v>
      </c>
      <c r="AA18" s="7" t="str">
        <f>Targets_UW[[#This Row],[AWA+Leeway]]-Targets_UW[[#This Row],[ROT (deg)]]</f>
        <v>#ERROR!</v>
      </c>
      <c r="AB18" s="7" t="str">
        <f>Targets_UW[[#This Row],[TWS (km/h)]]*(Targets_UW[[#This Row],[Wing]]/10)^0.1</f>
        <v>#ERROR!</v>
      </c>
      <c r="AC18" s="7" t="str">
        <f>SQRT(Targets_UW[[#This Row],[TWSTop]]^2+Targets_UW[[#This Row],[BSP (km/h)]]^2+2*Targets_UW[[#This Row],[BSP (km/h)]]*Targets_UW[[#This Row],[TWSTop]]*COS(RADIANS(Targets_UW[[#This Row],[TWA (deg)]]+Targets_UW[[#This Row],[LEEWAY (deg)]])))</f>
        <v>#ERROR!</v>
      </c>
      <c r="AD18" s="7" t="str">
        <f>DEGREES(ASIN(Targets_UW[[#This Row],[TWSTop]]*SIN(RADIANS(Targets_UW[[#This Row],[TWA (deg)]]+Targets_UW[[#This Row],[LEEWAY (deg)]]))/Targets_UW[[#This Row],[AWSTop]]))</f>
        <v>#ERROR!</v>
      </c>
      <c r="AE18" s="7" t="str">
        <f>Targets_UW[[#This Row],[AWA+Leeway Top]]-Targets_UW[[#This Row],[ROT (deg)]]</f>
        <v>#ERROR!</v>
      </c>
      <c r="AF18" s="7" t="str">
        <f>Targets_UW[[#This Row],[CLEW (deg)]]+Targets_UW[[#This Row],[TWIST (deg)]]</f>
        <v>#ERROR!</v>
      </c>
      <c r="AG18" s="10" t="str">
        <f>Targets_UW[[#This Row],[AWA+Leeway Top]]-Targets_UW[[#This Row],[CA6]]</f>
        <v>#ERROR!</v>
      </c>
      <c r="AH18" s="7" t="str">
        <f>Targets_UW[[#This Row],[AWA+Leeway]]-Targets_UW[[#This Row],[JibLead (deg)]]</f>
        <v>#ERROR!</v>
      </c>
    </row>
    <row r="19" ht="14.25" customHeight="1">
      <c r="A19" s="8" t="s">
        <v>34</v>
      </c>
      <c r="B19" s="9" t="s">
        <v>35</v>
      </c>
      <c r="C19" s="9" t="s">
        <v>36</v>
      </c>
      <c r="D19" s="9">
        <v>18.0</v>
      </c>
      <c r="E19" s="9" t="str">
        <f t="shared" si="1"/>
        <v>Foiling_HSB2_HSRW2-18m</v>
      </c>
      <c r="F19" s="9">
        <v>26.0</v>
      </c>
      <c r="G19" s="7" t="str">
        <f>ABS(Targets_UW[[#This Row],[BSP (km/h)]]*COS(RADIANS(Targets_UW[[#This Row],[TWA (deg)]]+Targets_UW[[#This Row],[LEEWAY (deg)]])))</f>
        <v>#ERROR!</v>
      </c>
      <c r="H19" s="7">
        <v>58.0</v>
      </c>
      <c r="I19" s="7">
        <v>49.0</v>
      </c>
      <c r="J19" s="7">
        <v>1.0</v>
      </c>
      <c r="K19" s="7">
        <v>-9.5</v>
      </c>
      <c r="L19" s="7">
        <v>2.1</v>
      </c>
      <c r="M19" s="7" t="str">
        <f>Targets_UW[[#This Row],[CANT (deg)]]-Targets_UW[[#This Row],[HEEL (deg)]]</f>
        <v>#ERROR!</v>
      </c>
      <c r="N19" s="7">
        <v>1140.0</v>
      </c>
      <c r="O19" s="7">
        <v>1.2</v>
      </c>
      <c r="P19" s="7">
        <v>4.3</v>
      </c>
      <c r="Q19" s="7">
        <v>-3.2</v>
      </c>
      <c r="R19" s="7">
        <v>-17.2</v>
      </c>
      <c r="S19" s="7" t="str">
        <f>Targets_UW[[#This Row],[CLEW (deg)]]-0.5*Targets_UW[[#This Row],[CA1 (deg)]]</f>
        <v>#ERROR!</v>
      </c>
      <c r="T19" s="7">
        <v>-1.0</v>
      </c>
      <c r="U19" s="7">
        <v>21.0</v>
      </c>
      <c r="V19" s="7">
        <v>1600.0</v>
      </c>
      <c r="W19" s="7">
        <v>5.3</v>
      </c>
      <c r="X19" s="7">
        <v>1400.0</v>
      </c>
      <c r="Y19" s="7" t="str">
        <f>SQRT(Targets_UW[[#This Row],[TWS (km/h)]]^2+Targets_UW[[#This Row],[BSP (km/h)]]^2+2*Targets_UW[[#This Row],[TWS (km/h)]]*Targets_UW[[#This Row],[BSP (km/h)]]*COS(RADIANS(Targets_UW[[#This Row],[TWA (deg)]]+Targets_UW[[#This Row],[LEEWAY (deg)]])))</f>
        <v>#ERROR!</v>
      </c>
      <c r="Z19" s="7" t="str">
        <f>DEGREES(ASIN(Targets_UW[[#This Row],[TWS (km/h)]]*SIN(RADIANS(Targets_UW[[#This Row],[TWA (deg)]]+Targets_UW[[#This Row],[LEEWAY (deg)]]))/Targets_UW[[#This Row],[AWS]]))</f>
        <v>#ERROR!</v>
      </c>
      <c r="AA19" s="7" t="str">
        <f>Targets_UW[[#This Row],[AWA+Leeway]]-Targets_UW[[#This Row],[ROT (deg)]]</f>
        <v>#ERROR!</v>
      </c>
      <c r="AB19" s="7" t="str">
        <f>Targets_UW[[#This Row],[TWS (km/h)]]*(Targets_UW[[#This Row],[Wing]]/10)^0.1</f>
        <v>#ERROR!</v>
      </c>
      <c r="AC19" s="7" t="str">
        <f>SQRT(Targets_UW[[#This Row],[TWSTop]]^2+Targets_UW[[#This Row],[BSP (km/h)]]^2+2*Targets_UW[[#This Row],[BSP (km/h)]]*Targets_UW[[#This Row],[TWSTop]]*COS(RADIANS(Targets_UW[[#This Row],[TWA (deg)]]+Targets_UW[[#This Row],[LEEWAY (deg)]])))</f>
        <v>#ERROR!</v>
      </c>
      <c r="AD19" s="7" t="str">
        <f>DEGREES(ASIN(Targets_UW[[#This Row],[TWSTop]]*SIN(RADIANS(Targets_UW[[#This Row],[TWA (deg)]]+Targets_UW[[#This Row],[LEEWAY (deg)]]))/Targets_UW[[#This Row],[AWSTop]]))</f>
        <v>#ERROR!</v>
      </c>
      <c r="AE19" s="7" t="str">
        <f>Targets_UW[[#This Row],[AWA+Leeway Top]]-Targets_UW[[#This Row],[ROT (deg)]]</f>
        <v>#ERROR!</v>
      </c>
      <c r="AF19" s="7" t="str">
        <f>Targets_UW[[#This Row],[CLEW (deg)]]+Targets_UW[[#This Row],[TWIST (deg)]]</f>
        <v>#ERROR!</v>
      </c>
      <c r="AG19" s="10" t="str">
        <f>Targets_UW[[#This Row],[AWA+Leeway Top]]-Targets_UW[[#This Row],[CA6]]</f>
        <v>#ERROR!</v>
      </c>
      <c r="AH19" s="7" t="str">
        <f>Targets_UW[[#This Row],[AWA+Leeway]]-Targets_UW[[#This Row],[JibLead (deg)]]</f>
        <v>#ERROR!</v>
      </c>
    </row>
    <row r="20" ht="14.25" customHeight="1">
      <c r="A20" s="8" t="s">
        <v>34</v>
      </c>
      <c r="B20" s="9" t="s">
        <v>35</v>
      </c>
      <c r="C20" s="9" t="s">
        <v>36</v>
      </c>
      <c r="D20" s="9">
        <v>18.0</v>
      </c>
      <c r="E20" s="9" t="str">
        <f t="shared" si="1"/>
        <v>Foiling_HSB2_HSRW2-18m</v>
      </c>
      <c r="F20" s="9">
        <v>28.0</v>
      </c>
      <c r="G20" s="7" t="str">
        <f>ABS(Targets_UW[[#This Row],[BSP (km/h)]]*COS(RADIANS(Targets_UW[[#This Row],[TWA (deg)]]+Targets_UW[[#This Row],[LEEWAY (deg)]])))</f>
        <v>#ERROR!</v>
      </c>
      <c r="H20" s="7">
        <v>59.5</v>
      </c>
      <c r="I20" s="7">
        <v>47.0</v>
      </c>
      <c r="J20" s="7">
        <v>1.0</v>
      </c>
      <c r="K20" s="7">
        <v>-9.8</v>
      </c>
      <c r="L20" s="7">
        <v>1.8</v>
      </c>
      <c r="M20" s="7" t="str">
        <f>Targets_UW[[#This Row],[CANT (deg)]]-Targets_UW[[#This Row],[HEEL (deg)]]</f>
        <v>#ERROR!</v>
      </c>
      <c r="N20" s="7">
        <v>1125.0</v>
      </c>
      <c r="O20" s="7">
        <v>1.15</v>
      </c>
      <c r="P20" s="7">
        <v>4.2</v>
      </c>
      <c r="Q20" s="7">
        <v>-3.2</v>
      </c>
      <c r="R20" s="7">
        <v>-17.1</v>
      </c>
      <c r="S20" s="7" t="str">
        <f>Targets_UW[[#This Row],[CLEW (deg)]]-0.5*Targets_UW[[#This Row],[CA1 (deg)]]</f>
        <v>#ERROR!</v>
      </c>
      <c r="T20" s="7">
        <v>-0.5</v>
      </c>
      <c r="U20" s="7">
        <v>22.0</v>
      </c>
      <c r="V20" s="7">
        <v>1800.0</v>
      </c>
      <c r="W20" s="7">
        <v>5.4</v>
      </c>
      <c r="X20" s="7">
        <v>1500.0</v>
      </c>
      <c r="Y20" s="7" t="str">
        <f>SQRT(Targets_UW[[#This Row],[TWS (km/h)]]^2+Targets_UW[[#This Row],[BSP (km/h)]]^2+2*Targets_UW[[#This Row],[TWS (km/h)]]*Targets_UW[[#This Row],[BSP (km/h)]]*COS(RADIANS(Targets_UW[[#This Row],[TWA (deg)]]+Targets_UW[[#This Row],[LEEWAY (deg)]])))</f>
        <v>#ERROR!</v>
      </c>
      <c r="Z20" s="7" t="str">
        <f>DEGREES(ASIN(Targets_UW[[#This Row],[TWS (km/h)]]*SIN(RADIANS(Targets_UW[[#This Row],[TWA (deg)]]+Targets_UW[[#This Row],[LEEWAY (deg)]]))/Targets_UW[[#This Row],[AWS]]))</f>
        <v>#ERROR!</v>
      </c>
      <c r="AA20" s="7" t="str">
        <f>Targets_UW[[#This Row],[AWA+Leeway]]-Targets_UW[[#This Row],[ROT (deg)]]</f>
        <v>#ERROR!</v>
      </c>
      <c r="AB20" s="7" t="str">
        <f>Targets_UW[[#This Row],[TWS (km/h)]]*(Targets_UW[[#This Row],[Wing]]/10)^0.1</f>
        <v>#ERROR!</v>
      </c>
      <c r="AC20" s="7" t="str">
        <f>SQRT(Targets_UW[[#This Row],[TWSTop]]^2+Targets_UW[[#This Row],[BSP (km/h)]]^2+2*Targets_UW[[#This Row],[BSP (km/h)]]*Targets_UW[[#This Row],[TWSTop]]*COS(RADIANS(Targets_UW[[#This Row],[TWA (deg)]]+Targets_UW[[#This Row],[LEEWAY (deg)]])))</f>
        <v>#ERROR!</v>
      </c>
      <c r="AD20" s="7" t="str">
        <f>DEGREES(ASIN(Targets_UW[[#This Row],[TWSTop]]*SIN(RADIANS(Targets_UW[[#This Row],[TWA (deg)]]+Targets_UW[[#This Row],[LEEWAY (deg)]]))/Targets_UW[[#This Row],[AWSTop]]))</f>
        <v>#ERROR!</v>
      </c>
      <c r="AE20" s="7" t="str">
        <f>Targets_UW[[#This Row],[AWA+Leeway Top]]-Targets_UW[[#This Row],[ROT (deg)]]</f>
        <v>#ERROR!</v>
      </c>
      <c r="AF20" s="7" t="str">
        <f>Targets_UW[[#This Row],[CLEW (deg)]]+Targets_UW[[#This Row],[TWIST (deg)]]</f>
        <v>#ERROR!</v>
      </c>
      <c r="AG20" s="10" t="str">
        <f>Targets_UW[[#This Row],[AWA+Leeway Top]]-Targets_UW[[#This Row],[CA6]]</f>
        <v>#ERROR!</v>
      </c>
      <c r="AH20" s="7" t="str">
        <f>Targets_UW[[#This Row],[AWA+Leeway]]-Targets_UW[[#This Row],[JibLead (deg)]]</f>
        <v>#ERROR!</v>
      </c>
    </row>
    <row r="21" ht="14.25" customHeight="1">
      <c r="A21" s="8" t="s">
        <v>34</v>
      </c>
      <c r="B21" s="9" t="s">
        <v>35</v>
      </c>
      <c r="C21" s="9" t="s">
        <v>36</v>
      </c>
      <c r="D21" s="9">
        <v>18.0</v>
      </c>
      <c r="E21" s="9" t="str">
        <f t="shared" si="1"/>
        <v>Foiling_HSB2_HSRW2-18m</v>
      </c>
      <c r="F21" s="9">
        <v>30.0</v>
      </c>
      <c r="G21" s="7" t="str">
        <f>ABS(Targets_UW[[#This Row],[BSP (km/h)]]*COS(RADIANS(Targets_UW[[#This Row],[TWA (deg)]]+Targets_UW[[#This Row],[LEEWAY (deg)]])))</f>
        <v>#ERROR!</v>
      </c>
      <c r="H21" s="7">
        <v>60.0</v>
      </c>
      <c r="I21" s="7">
        <v>45.0</v>
      </c>
      <c r="J21" s="7">
        <v>1.0</v>
      </c>
      <c r="K21" s="7">
        <v>-9.8</v>
      </c>
      <c r="L21" s="7">
        <v>1.5</v>
      </c>
      <c r="M21" s="7" t="str">
        <f>Targets_UW[[#This Row],[CANT (deg)]]-Targets_UW[[#This Row],[HEEL (deg)]]</f>
        <v>#ERROR!</v>
      </c>
      <c r="N21" s="7">
        <v>1110.0</v>
      </c>
      <c r="O21" s="7">
        <v>1.1</v>
      </c>
      <c r="P21" s="7">
        <v>4.1</v>
      </c>
      <c r="Q21" s="7">
        <v>-3.2</v>
      </c>
      <c r="R21" s="7">
        <v>-16.9</v>
      </c>
      <c r="S21" s="7" t="str">
        <f>Targets_UW[[#This Row],[CLEW (deg)]]-0.5*Targets_UW[[#This Row],[CA1 (deg)]]</f>
        <v>#ERROR!</v>
      </c>
      <c r="T21" s="7">
        <v>0.0</v>
      </c>
      <c r="U21" s="7">
        <v>23.0</v>
      </c>
      <c r="V21" s="7">
        <v>1900.0</v>
      </c>
      <c r="W21" s="7">
        <v>5.5</v>
      </c>
      <c r="X21" s="7">
        <v>1600.0</v>
      </c>
      <c r="Y21" s="7" t="str">
        <f>SQRT(Targets_UW[[#This Row],[TWS (km/h)]]^2+Targets_UW[[#This Row],[BSP (km/h)]]^2+2*Targets_UW[[#This Row],[TWS (km/h)]]*Targets_UW[[#This Row],[BSP (km/h)]]*COS(RADIANS(Targets_UW[[#This Row],[TWA (deg)]]+Targets_UW[[#This Row],[LEEWAY (deg)]])))</f>
        <v>#ERROR!</v>
      </c>
      <c r="Z21" s="7" t="str">
        <f>DEGREES(ASIN(Targets_UW[[#This Row],[TWS (km/h)]]*SIN(RADIANS(Targets_UW[[#This Row],[TWA (deg)]]+Targets_UW[[#This Row],[LEEWAY (deg)]]))/Targets_UW[[#This Row],[AWS]]))</f>
        <v>#ERROR!</v>
      </c>
      <c r="AA21" s="7" t="str">
        <f>Targets_UW[[#This Row],[AWA+Leeway]]-Targets_UW[[#This Row],[ROT (deg)]]</f>
        <v>#ERROR!</v>
      </c>
      <c r="AB21" s="7" t="str">
        <f>Targets_UW[[#This Row],[TWS (km/h)]]*(Targets_UW[[#This Row],[Wing]]/10)^0.1</f>
        <v>#ERROR!</v>
      </c>
      <c r="AC21" s="7" t="str">
        <f>SQRT(Targets_UW[[#This Row],[TWSTop]]^2+Targets_UW[[#This Row],[BSP (km/h)]]^2+2*Targets_UW[[#This Row],[BSP (km/h)]]*Targets_UW[[#This Row],[TWSTop]]*COS(RADIANS(Targets_UW[[#This Row],[TWA (deg)]]+Targets_UW[[#This Row],[LEEWAY (deg)]])))</f>
        <v>#ERROR!</v>
      </c>
      <c r="AD21" s="7" t="str">
        <f>DEGREES(ASIN(Targets_UW[[#This Row],[TWSTop]]*SIN(RADIANS(Targets_UW[[#This Row],[TWA (deg)]]+Targets_UW[[#This Row],[LEEWAY (deg)]]))/Targets_UW[[#This Row],[AWSTop]]))</f>
        <v>#ERROR!</v>
      </c>
      <c r="AE21" s="7" t="str">
        <f>Targets_UW[[#This Row],[AWA+Leeway Top]]-Targets_UW[[#This Row],[ROT (deg)]]</f>
        <v>#ERROR!</v>
      </c>
      <c r="AF21" s="7" t="str">
        <f>Targets_UW[[#This Row],[CLEW (deg)]]+Targets_UW[[#This Row],[TWIST (deg)]]</f>
        <v>#ERROR!</v>
      </c>
      <c r="AG21" s="10" t="str">
        <f>Targets_UW[[#This Row],[AWA+Leeway Top]]-Targets_UW[[#This Row],[CA6]]</f>
        <v>#ERROR!</v>
      </c>
      <c r="AH21" s="7" t="str">
        <f>Targets_UW[[#This Row],[AWA+Leeway]]-Targets_UW[[#This Row],[JibLead (deg)]]</f>
        <v>#ERROR!</v>
      </c>
    </row>
    <row r="22" ht="14.25" customHeight="1">
      <c r="A22" s="8" t="s">
        <v>34</v>
      </c>
      <c r="B22" s="9" t="s">
        <v>35</v>
      </c>
      <c r="C22" s="9" t="s">
        <v>36</v>
      </c>
      <c r="D22" s="9">
        <v>18.0</v>
      </c>
      <c r="E22" s="9" t="str">
        <f t="shared" si="1"/>
        <v>Foiling_HSB2_HSRW2-18m</v>
      </c>
      <c r="F22" s="9">
        <v>32.0</v>
      </c>
      <c r="G22" s="7" t="str">
        <f>ABS(Targets_UW[[#This Row],[BSP (km/h)]]*COS(RADIANS(Targets_UW[[#This Row],[TWA (deg)]]+Targets_UW[[#This Row],[LEEWAY (deg)]])))</f>
        <v>#ERROR!</v>
      </c>
      <c r="H22" s="7">
        <v>60.5</v>
      </c>
      <c r="I22" s="7">
        <v>44.0</v>
      </c>
      <c r="J22" s="7">
        <v>1.0</v>
      </c>
      <c r="K22" s="7">
        <v>-9.9</v>
      </c>
      <c r="L22" s="7">
        <v>1.3</v>
      </c>
      <c r="M22" s="7" t="str">
        <f>Targets_UW[[#This Row],[CANT (deg)]]-Targets_UW[[#This Row],[HEEL (deg)]]</f>
        <v>#ERROR!</v>
      </c>
      <c r="N22" s="7">
        <v>1100.0</v>
      </c>
      <c r="O22" s="7">
        <v>1.01</v>
      </c>
      <c r="P22" s="7">
        <v>4.0</v>
      </c>
      <c r="Q22" s="7">
        <v>-3.2</v>
      </c>
      <c r="R22" s="7">
        <v>-16.7</v>
      </c>
      <c r="S22" s="7" t="str">
        <f>Targets_UW[[#This Row],[CLEW (deg)]]-0.5*Targets_UW[[#This Row],[CA1 (deg)]]</f>
        <v>#ERROR!</v>
      </c>
      <c r="T22" s="7">
        <v>0.5</v>
      </c>
      <c r="U22" s="7">
        <v>24.0</v>
      </c>
      <c r="V22" s="7">
        <v>1900.0</v>
      </c>
      <c r="W22" s="7">
        <v>5.6</v>
      </c>
      <c r="X22" s="7">
        <v>1700.0</v>
      </c>
      <c r="Y22" s="7" t="str">
        <f>SQRT(Targets_UW[[#This Row],[TWS (km/h)]]^2+Targets_UW[[#This Row],[BSP (km/h)]]^2+2*Targets_UW[[#This Row],[TWS (km/h)]]*Targets_UW[[#This Row],[BSP (km/h)]]*COS(RADIANS(Targets_UW[[#This Row],[TWA (deg)]]+Targets_UW[[#This Row],[LEEWAY (deg)]])))</f>
        <v>#ERROR!</v>
      </c>
      <c r="Z22" s="7" t="str">
        <f>DEGREES(ASIN(Targets_UW[[#This Row],[TWS (km/h)]]*SIN(RADIANS(Targets_UW[[#This Row],[TWA (deg)]]+Targets_UW[[#This Row],[LEEWAY (deg)]]))/Targets_UW[[#This Row],[AWS]]))</f>
        <v>#ERROR!</v>
      </c>
      <c r="AA22" s="7" t="str">
        <f>Targets_UW[[#This Row],[AWA+Leeway]]-Targets_UW[[#This Row],[ROT (deg)]]</f>
        <v>#ERROR!</v>
      </c>
      <c r="AB22" s="7" t="str">
        <f>Targets_UW[[#This Row],[TWS (km/h)]]*(Targets_UW[[#This Row],[Wing]]/10)^0.1</f>
        <v>#ERROR!</v>
      </c>
      <c r="AC22" s="7" t="str">
        <f>SQRT(Targets_UW[[#This Row],[TWSTop]]^2+Targets_UW[[#This Row],[BSP (km/h)]]^2+2*Targets_UW[[#This Row],[BSP (km/h)]]*Targets_UW[[#This Row],[TWSTop]]*COS(RADIANS(Targets_UW[[#This Row],[TWA (deg)]]+Targets_UW[[#This Row],[LEEWAY (deg)]])))</f>
        <v>#ERROR!</v>
      </c>
      <c r="AD22" s="7" t="str">
        <f>DEGREES(ASIN(Targets_UW[[#This Row],[TWSTop]]*SIN(RADIANS(Targets_UW[[#This Row],[TWA (deg)]]+Targets_UW[[#This Row],[LEEWAY (deg)]]))/Targets_UW[[#This Row],[AWSTop]]))</f>
        <v>#ERROR!</v>
      </c>
      <c r="AE22" s="7" t="str">
        <f>Targets_UW[[#This Row],[AWA+Leeway Top]]-Targets_UW[[#This Row],[ROT (deg)]]</f>
        <v>#ERROR!</v>
      </c>
      <c r="AF22" s="7" t="str">
        <f>Targets_UW[[#This Row],[CLEW (deg)]]+Targets_UW[[#This Row],[TWIST (deg)]]</f>
        <v>#ERROR!</v>
      </c>
      <c r="AG22" s="10" t="str">
        <f>Targets_UW[[#This Row],[AWA+Leeway Top]]-Targets_UW[[#This Row],[CA6]]</f>
        <v>#ERROR!</v>
      </c>
      <c r="AH22" s="7" t="str">
        <f>Targets_UW[[#This Row],[AWA+Leeway]]-Targets_UW[[#This Row],[JibLead (deg)]]</f>
        <v>#ERROR!</v>
      </c>
    </row>
    <row r="23" ht="14.25" customHeight="1">
      <c r="A23" s="8" t="s">
        <v>34</v>
      </c>
      <c r="B23" s="9" t="s">
        <v>35</v>
      </c>
      <c r="C23" s="9" t="s">
        <v>36</v>
      </c>
      <c r="D23" s="9">
        <v>18.0</v>
      </c>
      <c r="E23" s="9" t="str">
        <f t="shared" si="1"/>
        <v>Foiling_HSB2_HSRW2-18m</v>
      </c>
      <c r="F23" s="9">
        <v>34.0</v>
      </c>
      <c r="G23" s="7" t="str">
        <f>ABS(Targets_UW[[#This Row],[BSP (km/h)]]*COS(RADIANS(Targets_UW[[#This Row],[TWA (deg)]]+Targets_UW[[#This Row],[LEEWAY (deg)]])))</f>
        <v>#ERROR!</v>
      </c>
      <c r="H23" s="7">
        <v>61.0</v>
      </c>
      <c r="I23" s="7">
        <v>43.0</v>
      </c>
      <c r="J23" s="7">
        <v>1.1</v>
      </c>
      <c r="K23" s="7">
        <v>-9.9</v>
      </c>
      <c r="L23" s="7">
        <v>1.2</v>
      </c>
      <c r="M23" s="7" t="str">
        <f>Targets_UW[[#This Row],[CANT (deg)]]-Targets_UW[[#This Row],[HEEL (deg)]]</f>
        <v>#ERROR!</v>
      </c>
      <c r="N23" s="7">
        <v>1100.0</v>
      </c>
      <c r="O23" s="7">
        <v>1.0</v>
      </c>
      <c r="P23" s="7">
        <v>4.0</v>
      </c>
      <c r="Q23" s="7">
        <v>-3.2</v>
      </c>
      <c r="R23" s="7">
        <v>-16.5</v>
      </c>
      <c r="S23" s="7" t="str">
        <f>Targets_UW[[#This Row],[CLEW (deg)]]-0.5*Targets_UW[[#This Row],[CA1 (deg)]]</f>
        <v>#ERROR!</v>
      </c>
      <c r="T23" s="7">
        <v>1.0</v>
      </c>
      <c r="U23" s="7">
        <v>24.5</v>
      </c>
      <c r="V23" s="7">
        <v>1900.0</v>
      </c>
      <c r="W23" s="7">
        <v>5.7</v>
      </c>
      <c r="X23" s="7">
        <v>1750.0</v>
      </c>
      <c r="Y23" s="7" t="str">
        <f>SQRT(Targets_UW[[#This Row],[TWS (km/h)]]^2+Targets_UW[[#This Row],[BSP (km/h)]]^2+2*Targets_UW[[#This Row],[TWS (km/h)]]*Targets_UW[[#This Row],[BSP (km/h)]]*COS(RADIANS(Targets_UW[[#This Row],[TWA (deg)]]+Targets_UW[[#This Row],[LEEWAY (deg)]])))</f>
        <v>#ERROR!</v>
      </c>
      <c r="Z23" s="7" t="str">
        <f>DEGREES(ASIN(Targets_UW[[#This Row],[TWS (km/h)]]*SIN(RADIANS(Targets_UW[[#This Row],[TWA (deg)]]+Targets_UW[[#This Row],[LEEWAY (deg)]]))/Targets_UW[[#This Row],[AWS]]))</f>
        <v>#ERROR!</v>
      </c>
      <c r="AA23" s="7" t="str">
        <f>Targets_UW[[#This Row],[AWA+Leeway]]-Targets_UW[[#This Row],[ROT (deg)]]</f>
        <v>#ERROR!</v>
      </c>
      <c r="AB23" s="7" t="str">
        <f>Targets_UW[[#This Row],[TWS (km/h)]]*(Targets_UW[[#This Row],[Wing]]/10)^0.1</f>
        <v>#ERROR!</v>
      </c>
      <c r="AC23" s="7" t="str">
        <f>SQRT(Targets_UW[[#This Row],[TWSTop]]^2+Targets_UW[[#This Row],[BSP (km/h)]]^2+2*Targets_UW[[#This Row],[BSP (km/h)]]*Targets_UW[[#This Row],[TWSTop]]*COS(RADIANS(Targets_UW[[#This Row],[TWA (deg)]]+Targets_UW[[#This Row],[LEEWAY (deg)]])))</f>
        <v>#ERROR!</v>
      </c>
      <c r="AD23" s="7" t="str">
        <f>DEGREES(ASIN(Targets_UW[[#This Row],[TWSTop]]*SIN(RADIANS(Targets_UW[[#This Row],[TWA (deg)]]+Targets_UW[[#This Row],[LEEWAY (deg)]]))/Targets_UW[[#This Row],[AWSTop]]))</f>
        <v>#ERROR!</v>
      </c>
      <c r="AE23" s="7" t="str">
        <f>Targets_UW[[#This Row],[AWA+Leeway Top]]-Targets_UW[[#This Row],[ROT (deg)]]</f>
        <v>#ERROR!</v>
      </c>
      <c r="AF23" s="7" t="str">
        <f>Targets_UW[[#This Row],[CLEW (deg)]]+Targets_UW[[#This Row],[TWIST (deg)]]</f>
        <v>#ERROR!</v>
      </c>
      <c r="AG23" s="10" t="str">
        <f>Targets_UW[[#This Row],[AWA+Leeway Top]]-Targets_UW[[#This Row],[CA6]]</f>
        <v>#ERROR!</v>
      </c>
      <c r="AH23" s="7" t="str">
        <f>Targets_UW[[#This Row],[AWA+Leeway]]-Targets_UW[[#This Row],[JibLead (deg)]]</f>
        <v>#ERROR!</v>
      </c>
    </row>
    <row r="24" ht="14.25" customHeight="1">
      <c r="A24" s="8" t="s">
        <v>34</v>
      </c>
      <c r="B24" s="9" t="s">
        <v>35</v>
      </c>
      <c r="C24" s="9" t="s">
        <v>36</v>
      </c>
      <c r="D24" s="9">
        <v>18.0</v>
      </c>
      <c r="E24" s="9" t="str">
        <f t="shared" si="1"/>
        <v>Foiling_HSB2_HSRW2-18m</v>
      </c>
      <c r="F24" s="9">
        <v>36.0</v>
      </c>
      <c r="G24" s="7" t="str">
        <f>ABS(Targets_UW[[#This Row],[BSP (km/h)]]*COS(RADIANS(Targets_UW[[#This Row],[TWA (deg)]]+Targets_UW[[#This Row],[LEEWAY (deg)]])))</f>
        <v>#ERROR!</v>
      </c>
      <c r="H24" s="7">
        <v>61.4</v>
      </c>
      <c r="I24" s="7">
        <v>42.0</v>
      </c>
      <c r="J24" s="7">
        <v>1.2</v>
      </c>
      <c r="K24" s="7">
        <v>-10.0</v>
      </c>
      <c r="L24" s="7">
        <v>1.1</v>
      </c>
      <c r="M24" s="7" t="str">
        <f>Targets_UW[[#This Row],[CANT (deg)]]-Targets_UW[[#This Row],[HEEL (deg)]]</f>
        <v>#ERROR!</v>
      </c>
      <c r="N24" s="7">
        <v>1100.0</v>
      </c>
      <c r="O24" s="7">
        <v>0.99</v>
      </c>
      <c r="P24" s="7">
        <v>4.0</v>
      </c>
      <c r="Q24" s="7">
        <v>-3.2</v>
      </c>
      <c r="R24" s="7">
        <v>-16.4</v>
      </c>
      <c r="S24" s="7" t="str">
        <f>Targets_UW[[#This Row],[CLEW (deg)]]-0.5*Targets_UW[[#This Row],[CA1 (deg)]]</f>
        <v>#ERROR!</v>
      </c>
      <c r="T24" s="7">
        <v>1.5</v>
      </c>
      <c r="U24" s="7">
        <v>25.0</v>
      </c>
      <c r="V24" s="7">
        <v>1900.0</v>
      </c>
      <c r="W24" s="7">
        <v>5.8</v>
      </c>
      <c r="X24" s="7">
        <v>1800.0</v>
      </c>
      <c r="Y24" s="7" t="str">
        <f>SQRT(Targets_UW[[#This Row],[TWS (km/h)]]^2+Targets_UW[[#This Row],[BSP (km/h)]]^2+2*Targets_UW[[#This Row],[TWS (km/h)]]*Targets_UW[[#This Row],[BSP (km/h)]]*COS(RADIANS(Targets_UW[[#This Row],[TWA (deg)]]+Targets_UW[[#This Row],[LEEWAY (deg)]])))</f>
        <v>#ERROR!</v>
      </c>
      <c r="Z24" s="7" t="str">
        <f>DEGREES(ASIN(Targets_UW[[#This Row],[TWS (km/h)]]*SIN(RADIANS(Targets_UW[[#This Row],[TWA (deg)]]+Targets_UW[[#This Row],[LEEWAY (deg)]]))/Targets_UW[[#This Row],[AWS]]))</f>
        <v>#ERROR!</v>
      </c>
      <c r="AA24" s="7" t="str">
        <f>Targets_UW[[#This Row],[AWA+Leeway]]-Targets_UW[[#This Row],[ROT (deg)]]</f>
        <v>#ERROR!</v>
      </c>
      <c r="AB24" s="7" t="str">
        <f>Targets_UW[[#This Row],[TWS (km/h)]]*(Targets_UW[[#This Row],[Wing]]/10)^0.1</f>
        <v>#ERROR!</v>
      </c>
      <c r="AC24" s="7" t="str">
        <f>SQRT(Targets_UW[[#This Row],[TWSTop]]^2+Targets_UW[[#This Row],[BSP (km/h)]]^2+2*Targets_UW[[#This Row],[BSP (km/h)]]*Targets_UW[[#This Row],[TWSTop]]*COS(RADIANS(Targets_UW[[#This Row],[TWA (deg)]]+Targets_UW[[#This Row],[LEEWAY (deg)]])))</f>
        <v>#ERROR!</v>
      </c>
      <c r="AD24" s="7" t="str">
        <f>DEGREES(ASIN(Targets_UW[[#This Row],[TWSTop]]*SIN(RADIANS(Targets_UW[[#This Row],[TWA (deg)]]+Targets_UW[[#This Row],[LEEWAY (deg)]]))/Targets_UW[[#This Row],[AWSTop]]))</f>
        <v>#ERROR!</v>
      </c>
      <c r="AE24" s="7" t="str">
        <f>Targets_UW[[#This Row],[AWA+Leeway Top]]-Targets_UW[[#This Row],[ROT (deg)]]</f>
        <v>#ERROR!</v>
      </c>
      <c r="AF24" s="7" t="str">
        <f>Targets_UW[[#This Row],[CLEW (deg)]]+Targets_UW[[#This Row],[TWIST (deg)]]</f>
        <v>#ERROR!</v>
      </c>
      <c r="AG24" s="10" t="str">
        <f>Targets_UW[[#This Row],[AWA+Leeway Top]]-Targets_UW[[#This Row],[CA6]]</f>
        <v>#ERROR!</v>
      </c>
      <c r="AH24" s="7" t="str">
        <f>Targets_UW[[#This Row],[AWA+Leeway]]-Targets_UW[[#This Row],[JibLead (deg)]]</f>
        <v>#ERROR!</v>
      </c>
    </row>
    <row r="25" ht="14.25" customHeight="1">
      <c r="A25" s="8" t="s">
        <v>34</v>
      </c>
      <c r="B25" s="9" t="s">
        <v>35</v>
      </c>
      <c r="C25" s="9" t="s">
        <v>36</v>
      </c>
      <c r="D25" s="9">
        <v>18.0</v>
      </c>
      <c r="E25" s="9" t="str">
        <f t="shared" si="1"/>
        <v>Foiling_HSB2_HSRW2-18m</v>
      </c>
      <c r="F25" s="9">
        <v>38.0</v>
      </c>
      <c r="G25" s="7" t="str">
        <f>ABS(Targets_UW[[#This Row],[BSP (km/h)]]*COS(RADIANS(Targets_UW[[#This Row],[TWA (deg)]]+Targets_UW[[#This Row],[LEEWAY (deg)]])))</f>
        <v>#ERROR!</v>
      </c>
      <c r="H25" s="7">
        <v>61.9</v>
      </c>
      <c r="I25" s="7">
        <v>41.0</v>
      </c>
      <c r="J25" s="7">
        <v>1.3</v>
      </c>
      <c r="K25" s="7">
        <v>-10.0</v>
      </c>
      <c r="L25" s="7">
        <v>1.0</v>
      </c>
      <c r="M25" s="7" t="str">
        <f>Targets_UW[[#This Row],[CANT (deg)]]-Targets_UW[[#This Row],[HEEL (deg)]]</f>
        <v>#ERROR!</v>
      </c>
      <c r="N25" s="7">
        <v>1100.0</v>
      </c>
      <c r="O25" s="7">
        <v>0.97</v>
      </c>
      <c r="P25" s="7">
        <v>4.0</v>
      </c>
      <c r="Q25" s="7">
        <v>-3.2</v>
      </c>
      <c r="R25" s="7">
        <v>-16.3</v>
      </c>
      <c r="S25" s="7" t="str">
        <f>Targets_UW[[#This Row],[CLEW (deg)]]-0.5*Targets_UW[[#This Row],[CA1 (deg)]]</f>
        <v>#ERROR!</v>
      </c>
      <c r="T25" s="7">
        <v>2.0</v>
      </c>
      <c r="U25" s="7">
        <v>25.0</v>
      </c>
      <c r="V25" s="7">
        <v>1900.0</v>
      </c>
      <c r="W25" s="7">
        <v>5.9</v>
      </c>
      <c r="X25" s="7">
        <v>1800.0</v>
      </c>
      <c r="Y25" s="7" t="str">
        <f>SQRT(Targets_UW[[#This Row],[TWS (km/h)]]^2+Targets_UW[[#This Row],[BSP (km/h)]]^2+2*Targets_UW[[#This Row],[TWS (km/h)]]*Targets_UW[[#This Row],[BSP (km/h)]]*COS(RADIANS(Targets_UW[[#This Row],[TWA (deg)]]+Targets_UW[[#This Row],[LEEWAY (deg)]])))</f>
        <v>#ERROR!</v>
      </c>
      <c r="Z25" s="7" t="str">
        <f>DEGREES(ASIN(Targets_UW[[#This Row],[TWS (km/h)]]*SIN(RADIANS(Targets_UW[[#This Row],[TWA (deg)]]+Targets_UW[[#This Row],[LEEWAY (deg)]]))/Targets_UW[[#This Row],[AWS]]))</f>
        <v>#ERROR!</v>
      </c>
      <c r="AA25" s="7" t="str">
        <f>Targets_UW[[#This Row],[AWA+Leeway]]-Targets_UW[[#This Row],[ROT (deg)]]</f>
        <v>#ERROR!</v>
      </c>
      <c r="AB25" s="7" t="str">
        <f>Targets_UW[[#This Row],[TWS (km/h)]]*(Targets_UW[[#This Row],[Wing]]/10)^0.1</f>
        <v>#ERROR!</v>
      </c>
      <c r="AC25" s="7" t="str">
        <f>SQRT(Targets_UW[[#This Row],[TWSTop]]^2+Targets_UW[[#This Row],[BSP (km/h)]]^2+2*Targets_UW[[#This Row],[BSP (km/h)]]*Targets_UW[[#This Row],[TWSTop]]*COS(RADIANS(Targets_UW[[#This Row],[TWA (deg)]]+Targets_UW[[#This Row],[LEEWAY (deg)]])))</f>
        <v>#ERROR!</v>
      </c>
      <c r="AD25" s="7" t="str">
        <f>DEGREES(ASIN(Targets_UW[[#This Row],[TWSTop]]*SIN(RADIANS(Targets_UW[[#This Row],[TWA (deg)]]+Targets_UW[[#This Row],[LEEWAY (deg)]]))/Targets_UW[[#This Row],[AWSTop]]))</f>
        <v>#ERROR!</v>
      </c>
      <c r="AE25" s="7" t="str">
        <f>Targets_UW[[#This Row],[AWA+Leeway Top]]-Targets_UW[[#This Row],[ROT (deg)]]</f>
        <v>#ERROR!</v>
      </c>
      <c r="AF25" s="7" t="str">
        <f>Targets_UW[[#This Row],[CLEW (deg)]]+Targets_UW[[#This Row],[TWIST (deg)]]</f>
        <v>#ERROR!</v>
      </c>
      <c r="AG25" s="10" t="str">
        <f>Targets_UW[[#This Row],[AWA+Leeway Top]]-Targets_UW[[#This Row],[CA6]]</f>
        <v>#ERROR!</v>
      </c>
      <c r="AH25" s="7" t="str">
        <f>Targets_UW[[#This Row],[AWA+Leeway]]-Targets_UW[[#This Row],[JibLead (deg)]]</f>
        <v>#ERROR!</v>
      </c>
    </row>
    <row r="26" ht="14.25" customHeight="1">
      <c r="A26" s="8" t="s">
        <v>34</v>
      </c>
      <c r="B26" s="9" t="s">
        <v>35</v>
      </c>
      <c r="C26" s="9" t="s">
        <v>36</v>
      </c>
      <c r="D26" s="9">
        <v>18.0</v>
      </c>
      <c r="E26" s="9" t="str">
        <f t="shared" si="1"/>
        <v>Foiling_HSB2_HSRW2-18m</v>
      </c>
      <c r="F26" s="9">
        <v>40.0</v>
      </c>
      <c r="G26" s="7" t="str">
        <f>ABS(Targets_UW[[#This Row],[BSP (km/h)]]*COS(RADIANS(Targets_UW[[#This Row],[TWA (deg)]]+Targets_UW[[#This Row],[LEEWAY (deg)]])))</f>
        <v>#ERROR!</v>
      </c>
      <c r="H26" s="7">
        <v>62.4</v>
      </c>
      <c r="I26" s="7">
        <v>40.5</v>
      </c>
      <c r="J26" s="7">
        <v>1.3</v>
      </c>
      <c r="K26" s="7">
        <v>-10.0</v>
      </c>
      <c r="L26" s="7">
        <v>0.85</v>
      </c>
      <c r="M26" s="7" t="str">
        <f>Targets_UW[[#This Row],[CANT (deg)]]-Targets_UW[[#This Row],[HEEL (deg)]]</f>
        <v>#ERROR!</v>
      </c>
      <c r="N26" s="7">
        <v>1100.0</v>
      </c>
      <c r="O26" s="7">
        <v>0.96</v>
      </c>
      <c r="P26" s="7">
        <v>4.0</v>
      </c>
      <c r="Q26" s="7">
        <v>-3.2</v>
      </c>
      <c r="R26" s="7">
        <v>-16.2</v>
      </c>
      <c r="S26" s="7" t="str">
        <f>Targets_UW[[#This Row],[CLEW (deg)]]-0.5*Targets_UW[[#This Row],[CA1 (deg)]]</f>
        <v>#ERROR!</v>
      </c>
      <c r="T26" s="7">
        <v>2.3</v>
      </c>
      <c r="U26" s="7">
        <v>25.0</v>
      </c>
      <c r="V26" s="7">
        <v>1900.0</v>
      </c>
      <c r="W26" s="7">
        <v>6.0</v>
      </c>
      <c r="X26" s="7">
        <v>1800.0</v>
      </c>
      <c r="Y26" s="7" t="str">
        <f>SQRT(Targets_UW[[#This Row],[TWS (km/h)]]^2+Targets_UW[[#This Row],[BSP (km/h)]]^2+2*Targets_UW[[#This Row],[TWS (km/h)]]*Targets_UW[[#This Row],[BSP (km/h)]]*COS(RADIANS(Targets_UW[[#This Row],[TWA (deg)]]+Targets_UW[[#This Row],[LEEWAY (deg)]])))</f>
        <v>#ERROR!</v>
      </c>
      <c r="Z26" s="7" t="str">
        <f>DEGREES(ASIN(Targets_UW[[#This Row],[TWS (km/h)]]*SIN(RADIANS(Targets_UW[[#This Row],[TWA (deg)]]+Targets_UW[[#This Row],[LEEWAY (deg)]]))/Targets_UW[[#This Row],[AWS]]))</f>
        <v>#ERROR!</v>
      </c>
      <c r="AA26" s="7" t="str">
        <f>Targets_UW[[#This Row],[AWA+Leeway]]-Targets_UW[[#This Row],[ROT (deg)]]</f>
        <v>#ERROR!</v>
      </c>
      <c r="AB26" s="7" t="str">
        <f>Targets_UW[[#This Row],[TWS (km/h)]]*(Targets_UW[[#This Row],[Wing]]/10)^0.1</f>
        <v>#ERROR!</v>
      </c>
      <c r="AC26" s="7" t="str">
        <f>SQRT(Targets_UW[[#This Row],[TWSTop]]^2+Targets_UW[[#This Row],[BSP (km/h)]]^2+2*Targets_UW[[#This Row],[BSP (km/h)]]*Targets_UW[[#This Row],[TWSTop]]*COS(RADIANS(Targets_UW[[#This Row],[TWA (deg)]]+Targets_UW[[#This Row],[LEEWAY (deg)]])))</f>
        <v>#ERROR!</v>
      </c>
      <c r="AD26" s="7" t="str">
        <f>DEGREES(ASIN(Targets_UW[[#This Row],[TWSTop]]*SIN(RADIANS(Targets_UW[[#This Row],[TWA (deg)]]+Targets_UW[[#This Row],[LEEWAY (deg)]]))/Targets_UW[[#This Row],[AWSTop]]))</f>
        <v>#ERROR!</v>
      </c>
      <c r="AE26" s="7" t="str">
        <f>Targets_UW[[#This Row],[AWA+Leeway Top]]-Targets_UW[[#This Row],[ROT (deg)]]</f>
        <v>#ERROR!</v>
      </c>
      <c r="AF26" s="7" t="str">
        <f>Targets_UW[[#This Row],[CLEW (deg)]]+Targets_UW[[#This Row],[TWIST (deg)]]</f>
        <v>#ERROR!</v>
      </c>
      <c r="AG26" s="10" t="str">
        <f>Targets_UW[[#This Row],[AWA+Leeway Top]]-Targets_UW[[#This Row],[CA6]]</f>
        <v>#ERROR!</v>
      </c>
      <c r="AH26" s="7" t="str">
        <f>Targets_UW[[#This Row],[AWA+Leeway]]-Targets_UW[[#This Row],[JibLead (deg)]]</f>
        <v>#ERROR!</v>
      </c>
    </row>
    <row r="27" ht="14.25" customHeight="1">
      <c r="A27" s="8" t="s">
        <v>34</v>
      </c>
      <c r="B27" s="9" t="s">
        <v>35</v>
      </c>
      <c r="C27" s="9" t="s">
        <v>36</v>
      </c>
      <c r="D27" s="9">
        <v>18.0</v>
      </c>
      <c r="E27" s="9" t="str">
        <f t="shared" si="1"/>
        <v>Foiling_HSB2_HSRW2-18m</v>
      </c>
      <c r="F27" s="9">
        <v>42.0</v>
      </c>
      <c r="G27" s="7" t="str">
        <f>ABS(Targets_UW[[#This Row],[BSP (km/h)]]*COS(RADIANS(Targets_UW[[#This Row],[TWA (deg)]]+Targets_UW[[#This Row],[LEEWAY (deg)]])))</f>
        <v>#ERROR!</v>
      </c>
      <c r="H27" s="7">
        <v>62.7</v>
      </c>
      <c r="I27" s="7">
        <v>40.2</v>
      </c>
      <c r="J27" s="7">
        <v>1.3</v>
      </c>
      <c r="K27" s="7">
        <v>-10.0</v>
      </c>
      <c r="L27" s="7">
        <v>0.7</v>
      </c>
      <c r="M27" s="7" t="str">
        <f>Targets_UW[[#This Row],[CANT (deg)]]-Targets_UW[[#This Row],[HEEL (deg)]]</f>
        <v>#ERROR!</v>
      </c>
      <c r="N27" s="7">
        <v>1100.0</v>
      </c>
      <c r="O27" s="7">
        <v>0.95</v>
      </c>
      <c r="P27" s="7">
        <v>4.0</v>
      </c>
      <c r="Q27" s="7">
        <v>-3.2</v>
      </c>
      <c r="R27" s="7">
        <v>-16.1</v>
      </c>
      <c r="S27" s="7" t="str">
        <f>Targets_UW[[#This Row],[CLEW (deg)]]-0.5*Targets_UW[[#This Row],[CA1 (deg)]]</f>
        <v>#ERROR!</v>
      </c>
      <c r="T27" s="7">
        <v>2.4</v>
      </c>
      <c r="U27" s="7">
        <v>25.0</v>
      </c>
      <c r="V27" s="7">
        <v>1900.0</v>
      </c>
      <c r="W27" s="7">
        <v>6.1</v>
      </c>
      <c r="X27" s="7">
        <v>1800.0</v>
      </c>
      <c r="Y27" s="7" t="str">
        <f>SQRT(Targets_UW[[#This Row],[TWS (km/h)]]^2+Targets_UW[[#This Row],[BSP (km/h)]]^2+2*Targets_UW[[#This Row],[TWS (km/h)]]*Targets_UW[[#This Row],[BSP (km/h)]]*COS(RADIANS(Targets_UW[[#This Row],[TWA (deg)]]+Targets_UW[[#This Row],[LEEWAY (deg)]])))</f>
        <v>#ERROR!</v>
      </c>
      <c r="Z27" s="7" t="str">
        <f>DEGREES(ASIN(Targets_UW[[#This Row],[TWS (km/h)]]*SIN(RADIANS(Targets_UW[[#This Row],[TWA (deg)]]+Targets_UW[[#This Row],[LEEWAY (deg)]]))/Targets_UW[[#This Row],[AWS]]))</f>
        <v>#ERROR!</v>
      </c>
      <c r="AA27" s="7" t="str">
        <f>Targets_UW[[#This Row],[AWA+Leeway]]-Targets_UW[[#This Row],[ROT (deg)]]</f>
        <v>#ERROR!</v>
      </c>
      <c r="AB27" s="7" t="str">
        <f>Targets_UW[[#This Row],[TWS (km/h)]]*(Targets_UW[[#This Row],[Wing]]/10)^0.1</f>
        <v>#ERROR!</v>
      </c>
      <c r="AC27" s="7" t="str">
        <f>SQRT(Targets_UW[[#This Row],[TWSTop]]^2+Targets_UW[[#This Row],[BSP (km/h)]]^2+2*Targets_UW[[#This Row],[BSP (km/h)]]*Targets_UW[[#This Row],[TWSTop]]*COS(RADIANS(Targets_UW[[#This Row],[TWA (deg)]]+Targets_UW[[#This Row],[LEEWAY (deg)]])))</f>
        <v>#ERROR!</v>
      </c>
      <c r="AD27" s="7" t="str">
        <f>DEGREES(ASIN(Targets_UW[[#This Row],[TWSTop]]*SIN(RADIANS(Targets_UW[[#This Row],[TWA (deg)]]+Targets_UW[[#This Row],[LEEWAY (deg)]]))/Targets_UW[[#This Row],[AWSTop]]))</f>
        <v>#ERROR!</v>
      </c>
      <c r="AE27" s="7" t="str">
        <f>Targets_UW[[#This Row],[AWA+Leeway Top]]-Targets_UW[[#This Row],[ROT (deg)]]</f>
        <v>#ERROR!</v>
      </c>
      <c r="AF27" s="7" t="str">
        <f>Targets_UW[[#This Row],[CLEW (deg)]]+Targets_UW[[#This Row],[TWIST (deg)]]</f>
        <v>#ERROR!</v>
      </c>
      <c r="AG27" s="10" t="str">
        <f>Targets_UW[[#This Row],[AWA+Leeway Top]]-Targets_UW[[#This Row],[CA6]]</f>
        <v>#ERROR!</v>
      </c>
      <c r="AH27" s="7" t="str">
        <f>Targets_UW[[#This Row],[AWA+Leeway]]-Targets_UW[[#This Row],[JibLead (deg)]]</f>
        <v>#ERROR!</v>
      </c>
    </row>
    <row r="28" ht="14.25" customHeight="1">
      <c r="A28" s="11" t="s">
        <v>34</v>
      </c>
      <c r="B28" s="12" t="s">
        <v>35</v>
      </c>
      <c r="C28" s="12" t="s">
        <v>36</v>
      </c>
      <c r="D28" s="12">
        <v>18.0</v>
      </c>
      <c r="E28" s="12" t="str">
        <f t="shared" si="1"/>
        <v>Foiling_HSB2_HSRW2-18m</v>
      </c>
      <c r="F28" s="12">
        <v>44.0</v>
      </c>
      <c r="G28" s="13" t="str">
        <f>ABS(Targets_UW[[#This Row],[BSP (km/h)]]*COS(RADIANS(Targets_UW[[#This Row],[TWA (deg)]]+Targets_UW[[#This Row],[LEEWAY (deg)]])))</f>
        <v>#ERROR!</v>
      </c>
      <c r="H28" s="13">
        <v>63.0</v>
      </c>
      <c r="I28" s="13">
        <v>40.0</v>
      </c>
      <c r="J28" s="13">
        <v>1.3</v>
      </c>
      <c r="K28" s="13">
        <v>-10.0</v>
      </c>
      <c r="L28" s="13">
        <v>0.5</v>
      </c>
      <c r="M28" s="13" t="str">
        <f>Targets_UW[[#This Row],[CANT (deg)]]-Targets_UW[[#This Row],[HEEL (deg)]]</f>
        <v>#ERROR!</v>
      </c>
      <c r="N28" s="13">
        <v>1100.0</v>
      </c>
      <c r="O28" s="13">
        <v>0.94</v>
      </c>
      <c r="P28" s="13">
        <v>4.0</v>
      </c>
      <c r="Q28" s="7">
        <v>-3.2</v>
      </c>
      <c r="R28" s="13">
        <v>-16.0</v>
      </c>
      <c r="S28" s="13" t="str">
        <f>Targets_UW[[#This Row],[CLEW (deg)]]-0.5*Targets_UW[[#This Row],[CA1 (deg)]]</f>
        <v>#ERROR!</v>
      </c>
      <c r="T28" s="13">
        <v>2.5</v>
      </c>
      <c r="U28" s="13">
        <v>25.0</v>
      </c>
      <c r="V28" s="13">
        <v>1900.0</v>
      </c>
      <c r="W28" s="13">
        <v>6.2</v>
      </c>
      <c r="X28" s="13">
        <v>1800.0</v>
      </c>
      <c r="Y28" s="13" t="str">
        <f>SQRT(Targets_UW[[#This Row],[TWS (km/h)]]^2+Targets_UW[[#This Row],[BSP (km/h)]]^2+2*Targets_UW[[#This Row],[TWS (km/h)]]*Targets_UW[[#This Row],[BSP (km/h)]]*COS(RADIANS(Targets_UW[[#This Row],[TWA (deg)]]+Targets_UW[[#This Row],[LEEWAY (deg)]])))</f>
        <v>#ERROR!</v>
      </c>
      <c r="Z28" s="13" t="str">
        <f>DEGREES(ASIN(Targets_UW[[#This Row],[TWS (km/h)]]*SIN(RADIANS(Targets_UW[[#This Row],[TWA (deg)]]+Targets_UW[[#This Row],[LEEWAY (deg)]]))/Targets_UW[[#This Row],[AWS]]))</f>
        <v>#ERROR!</v>
      </c>
      <c r="AA28" s="13" t="str">
        <f>Targets_UW[[#This Row],[AWA+Leeway]]-Targets_UW[[#This Row],[ROT (deg)]]</f>
        <v>#ERROR!</v>
      </c>
      <c r="AB28" s="13" t="str">
        <f>Targets_UW[[#This Row],[TWS (km/h)]]*(Targets_UW[[#This Row],[Wing]]/10)^0.1</f>
        <v>#ERROR!</v>
      </c>
      <c r="AC28" s="13" t="str">
        <f>SQRT(Targets_UW[[#This Row],[TWSTop]]^2+Targets_UW[[#This Row],[BSP (km/h)]]^2+2*Targets_UW[[#This Row],[BSP (km/h)]]*Targets_UW[[#This Row],[TWSTop]]*COS(RADIANS(Targets_UW[[#This Row],[TWA (deg)]]+Targets_UW[[#This Row],[LEEWAY (deg)]])))</f>
        <v>#ERROR!</v>
      </c>
      <c r="AD28" s="13" t="str">
        <f>DEGREES(ASIN(Targets_UW[[#This Row],[TWSTop]]*SIN(RADIANS(Targets_UW[[#This Row],[TWA (deg)]]+Targets_UW[[#This Row],[LEEWAY (deg)]]))/Targets_UW[[#This Row],[AWSTop]]))</f>
        <v>#ERROR!</v>
      </c>
      <c r="AE28" s="13" t="str">
        <f>Targets_UW[[#This Row],[AWA+Leeway Top]]-Targets_UW[[#This Row],[ROT (deg)]]</f>
        <v>#ERROR!</v>
      </c>
      <c r="AF28" s="13" t="str">
        <f>Targets_UW[[#This Row],[CLEW (deg)]]+Targets_UW[[#This Row],[TWIST (deg)]]</f>
        <v>#ERROR!</v>
      </c>
      <c r="AG28" s="14" t="str">
        <f>Targets_UW[[#This Row],[AWA+Leeway Top]]-Targets_UW[[#This Row],[CA6]]</f>
        <v>#ERROR!</v>
      </c>
      <c r="AH28" s="7" t="str">
        <f>Targets_UW[[#This Row],[AWA+Leeway]]-Targets_UW[[#This Row],[JibLead (deg)]]</f>
        <v>#ERROR!</v>
      </c>
    </row>
    <row r="29" ht="14.25" customHeight="1">
      <c r="A29" s="3" t="s">
        <v>34</v>
      </c>
      <c r="B29" s="4" t="s">
        <v>35</v>
      </c>
      <c r="C29" s="4" t="s">
        <v>37</v>
      </c>
      <c r="D29" s="4">
        <v>24.0</v>
      </c>
      <c r="E29" s="4" t="str">
        <f t="shared" si="1"/>
        <v>Foiling_HSB2_LARW2-24m</v>
      </c>
      <c r="F29" s="4">
        <v>14.0</v>
      </c>
      <c r="G29" s="5" t="str">
        <f>ABS(Targets_UW[[#This Row],[BSP (km/h)]]*COS(RADIANS(Targets_UW[[#This Row],[TWA (deg)]]+Targets_UW[[#This Row],[LEEWAY (deg)]])))</f>
        <v>#ERROR!</v>
      </c>
      <c r="H29" s="5">
        <f t="shared" ref="H29:H33" si="3">0.7*H2+0.3*H43</f>
        <v>44.4</v>
      </c>
      <c r="I29" s="5">
        <f t="shared" ref="I29:I33" si="4">0.9*I2+0.1*I43</f>
        <v>68.7</v>
      </c>
      <c r="J29" s="5">
        <f t="shared" ref="J29:J33" si="5">0.75*J2+0.25*J43</f>
        <v>2.475</v>
      </c>
      <c r="K29" s="5">
        <v>2.9499999999999993</v>
      </c>
      <c r="L29" s="5">
        <v>1.0</v>
      </c>
      <c r="M29" s="5" t="str">
        <f>Targets_UW[[#This Row],[CANT (deg)]]-Targets_UW[[#This Row],[HEEL (deg)]]</f>
        <v>#ERROR!</v>
      </c>
      <c r="N29" s="5">
        <f t="shared" ref="N29:N33" si="6">N2</f>
        <v>1180</v>
      </c>
      <c r="O29" s="5">
        <v>1.8</v>
      </c>
      <c r="P29" s="5">
        <v>4.0</v>
      </c>
      <c r="Q29" s="5">
        <f t="shared" ref="Q29:R29" si="2">0.75*Q2+0.25*Q43</f>
        <v>-3.275</v>
      </c>
      <c r="R29" s="5">
        <f t="shared" si="2"/>
        <v>-19.1</v>
      </c>
      <c r="S29" s="5" t="str">
        <f>Targets_UW[[#This Row],[CLEW (deg)]]-0.5*Targets_UW[[#This Row],[CA1 (deg)]]</f>
        <v>#ERROR!</v>
      </c>
      <c r="T29" s="5">
        <f t="shared" ref="T29:T33" si="8">0.75*T2+0.25*T43</f>
        <v>-1.375</v>
      </c>
      <c r="U29" s="5">
        <v>21.0</v>
      </c>
      <c r="V29" s="5">
        <v>500.0</v>
      </c>
      <c r="W29" s="5">
        <f t="shared" ref="W29:W33" si="9">0.75*W2+0.25*W43</f>
        <v>5.475</v>
      </c>
      <c r="X29" s="5"/>
      <c r="Y29" s="5" t="str">
        <f>SQRT(Targets_UW[[#This Row],[TWS (km/h)]]^2+Targets_UW[[#This Row],[BSP (km/h)]]^2+2*Targets_UW[[#This Row],[TWS (km/h)]]*Targets_UW[[#This Row],[BSP (km/h)]]*COS(RADIANS(Targets_UW[[#This Row],[TWA (deg)]]+Targets_UW[[#This Row],[LEEWAY (deg)]])))</f>
        <v>#ERROR!</v>
      </c>
      <c r="Z29" s="5" t="str">
        <f>DEGREES(ASIN(Targets_UW[[#This Row],[TWS (km/h)]]*SIN(RADIANS(Targets_UW[[#This Row],[TWA (deg)]]+Targets_UW[[#This Row],[LEEWAY (deg)]]))/Targets_UW[[#This Row],[AWS]]))</f>
        <v>#ERROR!</v>
      </c>
      <c r="AA29" s="5" t="str">
        <f>Targets_UW[[#This Row],[AWA+Leeway]]-Targets_UW[[#This Row],[ROT (deg)]]</f>
        <v>#ERROR!</v>
      </c>
      <c r="AB29" s="5" t="str">
        <f>Targets_UW[[#This Row],[TWS (km/h)]]*(Targets_UW[[#This Row],[Wing]]/10)^0.1</f>
        <v>#ERROR!</v>
      </c>
      <c r="AC29" s="5" t="str">
        <f>SQRT(Targets_UW[[#This Row],[TWSTop]]^2+Targets_UW[[#This Row],[BSP (km/h)]]^2+2*Targets_UW[[#This Row],[BSP (km/h)]]*Targets_UW[[#This Row],[TWSTop]]*COS(RADIANS(Targets_UW[[#This Row],[TWA (deg)]]+Targets_UW[[#This Row],[LEEWAY (deg)]])))</f>
        <v>#ERROR!</v>
      </c>
      <c r="AD29" s="5" t="str">
        <f>DEGREES(ASIN(Targets_UW[[#This Row],[TWSTop]]*SIN(RADIANS(Targets_UW[[#This Row],[TWA (deg)]]+Targets_UW[[#This Row],[LEEWAY (deg)]]))/Targets_UW[[#This Row],[AWSTop]]))</f>
        <v>#ERROR!</v>
      </c>
      <c r="AE29" s="5" t="str">
        <f>Targets_UW[[#This Row],[AWA+Leeway Top]]-Targets_UW[[#This Row],[ROT (deg)]]</f>
        <v>#ERROR!</v>
      </c>
      <c r="AF29" s="5" t="str">
        <f>Targets_UW[[#This Row],[CLEW (deg)]]+Targets_UW[[#This Row],[TWIST (deg)]]</f>
        <v>#ERROR!</v>
      </c>
      <c r="AG29" s="6" t="str">
        <f>Targets_UW[[#This Row],[AWA+Leeway Top]]-Targets_UW[[#This Row],[CA6]]</f>
        <v>#ERROR!</v>
      </c>
      <c r="AH29" s="7" t="str">
        <f>Targets_UW[[#This Row],[AWA+Leeway]]-Targets_UW[[#This Row],[JibLead (deg)]]</f>
        <v>#ERROR!</v>
      </c>
    </row>
    <row r="30" ht="14.25" customHeight="1">
      <c r="A30" s="8" t="s">
        <v>34</v>
      </c>
      <c r="B30" s="9" t="s">
        <v>35</v>
      </c>
      <c r="C30" s="9" t="s">
        <v>37</v>
      </c>
      <c r="D30" s="9">
        <v>24.0</v>
      </c>
      <c r="E30" s="9" t="str">
        <f t="shared" si="1"/>
        <v>Foiling_HSB2_LARW2-24m</v>
      </c>
      <c r="F30" s="9">
        <v>16.0</v>
      </c>
      <c r="G30" s="7" t="str">
        <f>ABS(Targets_UW[[#This Row],[BSP (km/h)]]*COS(RADIANS(Targets_UW[[#This Row],[TWA (deg)]]+Targets_UW[[#This Row],[LEEWAY (deg)]])))</f>
        <v>#ERROR!</v>
      </c>
      <c r="H30" s="7">
        <f t="shared" si="3"/>
        <v>46.05</v>
      </c>
      <c r="I30" s="7">
        <f t="shared" si="4"/>
        <v>62.35</v>
      </c>
      <c r="J30" s="7">
        <f t="shared" si="5"/>
        <v>2.35</v>
      </c>
      <c r="K30" s="7">
        <v>1.1999999999999993</v>
      </c>
      <c r="L30" s="7">
        <v>1.0</v>
      </c>
      <c r="M30" s="7" t="str">
        <f>Targets_UW[[#This Row],[CANT (deg)]]-Targets_UW[[#This Row],[HEEL (deg)]]</f>
        <v>#ERROR!</v>
      </c>
      <c r="N30" s="7">
        <f t="shared" si="6"/>
        <v>1175</v>
      </c>
      <c r="O30" s="7">
        <v>1.5</v>
      </c>
      <c r="P30" s="7">
        <v>3.9</v>
      </c>
      <c r="Q30" s="7">
        <f t="shared" ref="Q30:R30" si="7">0.75*Q3+0.25*Q44</f>
        <v>-3.275</v>
      </c>
      <c r="R30" s="7">
        <f t="shared" si="7"/>
        <v>-19</v>
      </c>
      <c r="S30" s="7" t="str">
        <f>Targets_UW[[#This Row],[CLEW (deg)]]-0.5*Targets_UW[[#This Row],[CA1 (deg)]]</f>
        <v>#ERROR!</v>
      </c>
      <c r="T30" s="7">
        <f t="shared" si="8"/>
        <v>-0.85</v>
      </c>
      <c r="U30" s="7">
        <v>24.0</v>
      </c>
      <c r="V30" s="7">
        <v>750.0</v>
      </c>
      <c r="W30" s="7">
        <f t="shared" si="9"/>
        <v>5.575</v>
      </c>
      <c r="X30" s="7"/>
      <c r="Y30" s="7" t="str">
        <f>SQRT(Targets_UW[[#This Row],[TWS (km/h)]]^2+Targets_UW[[#This Row],[BSP (km/h)]]^2+2*Targets_UW[[#This Row],[TWS (km/h)]]*Targets_UW[[#This Row],[BSP (km/h)]]*COS(RADIANS(Targets_UW[[#This Row],[TWA (deg)]]+Targets_UW[[#This Row],[LEEWAY (deg)]])))</f>
        <v>#ERROR!</v>
      </c>
      <c r="Z30" s="7" t="str">
        <f>DEGREES(ASIN(Targets_UW[[#This Row],[TWS (km/h)]]*SIN(RADIANS(Targets_UW[[#This Row],[TWA (deg)]]+Targets_UW[[#This Row],[LEEWAY (deg)]]))/Targets_UW[[#This Row],[AWS]]))</f>
        <v>#ERROR!</v>
      </c>
      <c r="AA30" s="7" t="str">
        <f>Targets_UW[[#This Row],[AWA+Leeway]]-Targets_UW[[#This Row],[ROT (deg)]]</f>
        <v>#ERROR!</v>
      </c>
      <c r="AB30" s="7" t="str">
        <f>Targets_UW[[#This Row],[TWS (km/h)]]*(Targets_UW[[#This Row],[Wing]]/10)^0.1</f>
        <v>#ERROR!</v>
      </c>
      <c r="AC30" s="7" t="str">
        <f>SQRT(Targets_UW[[#This Row],[TWSTop]]^2+Targets_UW[[#This Row],[BSP (km/h)]]^2+2*Targets_UW[[#This Row],[BSP (km/h)]]*Targets_UW[[#This Row],[TWSTop]]*COS(RADIANS(Targets_UW[[#This Row],[TWA (deg)]]+Targets_UW[[#This Row],[LEEWAY (deg)]])))</f>
        <v>#ERROR!</v>
      </c>
      <c r="AD30" s="7" t="str">
        <f>DEGREES(ASIN(Targets_UW[[#This Row],[TWSTop]]*SIN(RADIANS(Targets_UW[[#This Row],[TWA (deg)]]+Targets_UW[[#This Row],[LEEWAY (deg)]]))/Targets_UW[[#This Row],[AWSTop]]))</f>
        <v>#ERROR!</v>
      </c>
      <c r="AE30" s="7" t="str">
        <f>Targets_UW[[#This Row],[AWA+Leeway Top]]-Targets_UW[[#This Row],[ROT (deg)]]</f>
        <v>#ERROR!</v>
      </c>
      <c r="AF30" s="7" t="str">
        <f>Targets_UW[[#This Row],[CLEW (deg)]]+Targets_UW[[#This Row],[TWIST (deg)]]</f>
        <v>#ERROR!</v>
      </c>
      <c r="AG30" s="10" t="str">
        <f>Targets_UW[[#This Row],[AWA+Leeway Top]]-Targets_UW[[#This Row],[CA6]]</f>
        <v>#ERROR!</v>
      </c>
      <c r="AH30" s="7" t="str">
        <f>Targets_UW[[#This Row],[AWA+Leeway]]-Targets_UW[[#This Row],[JibLead (deg)]]</f>
        <v>#ERROR!</v>
      </c>
    </row>
    <row r="31" ht="14.25" customHeight="1">
      <c r="A31" s="8" t="s">
        <v>34</v>
      </c>
      <c r="B31" s="9" t="s">
        <v>35</v>
      </c>
      <c r="C31" s="9" t="s">
        <v>37</v>
      </c>
      <c r="D31" s="9">
        <v>24.0</v>
      </c>
      <c r="E31" s="9" t="str">
        <f t="shared" si="1"/>
        <v>Foiling_HSB2_LARW2-24m</v>
      </c>
      <c r="F31" s="9">
        <v>18.0</v>
      </c>
      <c r="G31" s="7" t="str">
        <f>ABS(Targets_UW[[#This Row],[BSP (km/h)]]*COS(RADIANS(Targets_UW[[#This Row],[TWA (deg)]]+Targets_UW[[#This Row],[LEEWAY (deg)]])))</f>
        <v>#ERROR!</v>
      </c>
      <c r="H31" s="7">
        <f t="shared" si="3"/>
        <v>48.1</v>
      </c>
      <c r="I31" s="7">
        <f t="shared" si="4"/>
        <v>57.73</v>
      </c>
      <c r="J31" s="7">
        <f t="shared" si="5"/>
        <v>2.15</v>
      </c>
      <c r="K31" s="7">
        <v>-0.29000000000000004</v>
      </c>
      <c r="L31" s="7">
        <v>1.0</v>
      </c>
      <c r="M31" s="7" t="str">
        <f>Targets_UW[[#This Row],[CANT (deg)]]-Targets_UW[[#This Row],[HEEL (deg)]]</f>
        <v>#ERROR!</v>
      </c>
      <c r="N31" s="7">
        <f t="shared" si="6"/>
        <v>1170</v>
      </c>
      <c r="O31" s="7">
        <v>1.2</v>
      </c>
      <c r="P31" s="7">
        <v>3.8</v>
      </c>
      <c r="Q31" s="7">
        <f t="shared" ref="Q31:R31" si="10">0.75*Q4+0.25*Q45</f>
        <v>-3.275</v>
      </c>
      <c r="R31" s="7">
        <f t="shared" si="10"/>
        <v>-18.54521382</v>
      </c>
      <c r="S31" s="7" t="str">
        <f>Targets_UW[[#This Row],[CLEW (deg)]]-0.5*Targets_UW[[#This Row],[CA1 (deg)]]</f>
        <v>#ERROR!</v>
      </c>
      <c r="T31" s="7">
        <f t="shared" si="8"/>
        <v>-0.575</v>
      </c>
      <c r="U31" s="7">
        <v>26.0</v>
      </c>
      <c r="V31" s="7">
        <v>1050.0</v>
      </c>
      <c r="W31" s="7">
        <f t="shared" si="9"/>
        <v>5.65</v>
      </c>
      <c r="X31" s="7"/>
      <c r="Y31" s="7" t="str">
        <f>SQRT(Targets_UW[[#This Row],[TWS (km/h)]]^2+Targets_UW[[#This Row],[BSP (km/h)]]^2+2*Targets_UW[[#This Row],[TWS (km/h)]]*Targets_UW[[#This Row],[BSP (km/h)]]*COS(RADIANS(Targets_UW[[#This Row],[TWA (deg)]]+Targets_UW[[#This Row],[LEEWAY (deg)]])))</f>
        <v>#ERROR!</v>
      </c>
      <c r="Z31" s="7" t="str">
        <f>DEGREES(ASIN(Targets_UW[[#This Row],[TWS (km/h)]]*SIN(RADIANS(Targets_UW[[#This Row],[TWA (deg)]]+Targets_UW[[#This Row],[LEEWAY (deg)]]))/Targets_UW[[#This Row],[AWS]]))</f>
        <v>#ERROR!</v>
      </c>
      <c r="AA31" s="7" t="str">
        <f>Targets_UW[[#This Row],[AWA+Leeway]]-Targets_UW[[#This Row],[ROT (deg)]]</f>
        <v>#ERROR!</v>
      </c>
      <c r="AB31" s="7" t="str">
        <f>Targets_UW[[#This Row],[TWS (km/h)]]*(Targets_UW[[#This Row],[Wing]]/10)^0.1</f>
        <v>#ERROR!</v>
      </c>
      <c r="AC31" s="7" t="str">
        <f>SQRT(Targets_UW[[#This Row],[TWSTop]]^2+Targets_UW[[#This Row],[BSP (km/h)]]^2+2*Targets_UW[[#This Row],[BSP (km/h)]]*Targets_UW[[#This Row],[TWSTop]]*COS(RADIANS(Targets_UW[[#This Row],[TWA (deg)]]+Targets_UW[[#This Row],[LEEWAY (deg)]])))</f>
        <v>#ERROR!</v>
      </c>
      <c r="AD31" s="7" t="str">
        <f>DEGREES(ASIN(Targets_UW[[#This Row],[TWSTop]]*SIN(RADIANS(Targets_UW[[#This Row],[TWA (deg)]]+Targets_UW[[#This Row],[LEEWAY (deg)]]))/Targets_UW[[#This Row],[AWSTop]]))</f>
        <v>#ERROR!</v>
      </c>
      <c r="AE31" s="7" t="str">
        <f>Targets_UW[[#This Row],[AWA+Leeway Top]]-Targets_UW[[#This Row],[ROT (deg)]]</f>
        <v>#ERROR!</v>
      </c>
      <c r="AF31" s="7" t="str">
        <f>Targets_UW[[#This Row],[CLEW (deg)]]+Targets_UW[[#This Row],[TWIST (deg)]]</f>
        <v>#ERROR!</v>
      </c>
      <c r="AG31" s="10" t="str">
        <f>Targets_UW[[#This Row],[AWA+Leeway Top]]-Targets_UW[[#This Row],[CA6]]</f>
        <v>#ERROR!</v>
      </c>
      <c r="AH31" s="7" t="str">
        <f>Targets_UW[[#This Row],[AWA+Leeway]]-Targets_UW[[#This Row],[JibLead (deg)]]</f>
        <v>#ERROR!</v>
      </c>
    </row>
    <row r="32" ht="14.25" customHeight="1">
      <c r="A32" s="8" t="s">
        <v>34</v>
      </c>
      <c r="B32" s="9" t="s">
        <v>35</v>
      </c>
      <c r="C32" s="9" t="s">
        <v>37</v>
      </c>
      <c r="D32" s="9">
        <v>24.0</v>
      </c>
      <c r="E32" s="9" t="str">
        <f t="shared" si="1"/>
        <v>Foiling_HSB2_LARW2-24m</v>
      </c>
      <c r="F32" s="9">
        <v>20.0</v>
      </c>
      <c r="G32" s="7" t="str">
        <f>ABS(Targets_UW[[#This Row],[BSP (km/h)]]*COS(RADIANS(Targets_UW[[#This Row],[TWA (deg)]]+Targets_UW[[#This Row],[LEEWAY (deg)]])))</f>
        <v>#ERROR!</v>
      </c>
      <c r="H32" s="7">
        <f t="shared" si="3"/>
        <v>50.17428299</v>
      </c>
      <c r="I32" s="7">
        <f t="shared" si="4"/>
        <v>53.74</v>
      </c>
      <c r="J32" s="7">
        <f t="shared" si="5"/>
        <v>1.9625</v>
      </c>
      <c r="K32" s="7">
        <v>-1.9300000000000002</v>
      </c>
      <c r="L32" s="7">
        <v>1.0</v>
      </c>
      <c r="M32" s="7" t="str">
        <f>Targets_UW[[#This Row],[CANT (deg)]]-Targets_UW[[#This Row],[HEEL (deg)]]</f>
        <v>#ERROR!</v>
      </c>
      <c r="N32" s="7">
        <f t="shared" si="6"/>
        <v>1165</v>
      </c>
      <c r="O32" s="7">
        <v>0.9</v>
      </c>
      <c r="P32" s="7">
        <v>3.6</v>
      </c>
      <c r="Q32" s="7">
        <f t="shared" ref="Q32:R32" si="11">0.75*Q5+0.25*Q46</f>
        <v>-3.425</v>
      </c>
      <c r="R32" s="7">
        <f t="shared" si="11"/>
        <v>-17.99949875</v>
      </c>
      <c r="S32" s="7" t="str">
        <f>Targets_UW[[#This Row],[CLEW (deg)]]-0.5*Targets_UW[[#This Row],[CA1 (deg)]]</f>
        <v>#ERROR!</v>
      </c>
      <c r="T32" s="7">
        <f t="shared" si="8"/>
        <v>-0.3125</v>
      </c>
      <c r="U32" s="7">
        <v>28.0</v>
      </c>
      <c r="V32" s="7">
        <v>1250.0</v>
      </c>
      <c r="W32" s="7">
        <f t="shared" si="9"/>
        <v>5.725</v>
      </c>
      <c r="X32" s="7"/>
      <c r="Y32" s="7" t="str">
        <f>SQRT(Targets_UW[[#This Row],[TWS (km/h)]]^2+Targets_UW[[#This Row],[BSP (km/h)]]^2+2*Targets_UW[[#This Row],[TWS (km/h)]]*Targets_UW[[#This Row],[BSP (km/h)]]*COS(RADIANS(Targets_UW[[#This Row],[TWA (deg)]]+Targets_UW[[#This Row],[LEEWAY (deg)]])))</f>
        <v>#ERROR!</v>
      </c>
      <c r="Z32" s="7" t="str">
        <f>DEGREES(ASIN(Targets_UW[[#This Row],[TWS (km/h)]]*SIN(RADIANS(Targets_UW[[#This Row],[TWA (deg)]]+Targets_UW[[#This Row],[LEEWAY (deg)]]))/Targets_UW[[#This Row],[AWS]]))</f>
        <v>#ERROR!</v>
      </c>
      <c r="AA32" s="7" t="str">
        <f>Targets_UW[[#This Row],[AWA+Leeway]]-Targets_UW[[#This Row],[ROT (deg)]]</f>
        <v>#ERROR!</v>
      </c>
      <c r="AB32" s="7" t="str">
        <f>Targets_UW[[#This Row],[TWS (km/h)]]*(Targets_UW[[#This Row],[Wing]]/10)^0.1</f>
        <v>#ERROR!</v>
      </c>
      <c r="AC32" s="7" t="str">
        <f>SQRT(Targets_UW[[#This Row],[TWSTop]]^2+Targets_UW[[#This Row],[BSP (km/h)]]^2+2*Targets_UW[[#This Row],[BSP (km/h)]]*Targets_UW[[#This Row],[TWSTop]]*COS(RADIANS(Targets_UW[[#This Row],[TWA (deg)]]+Targets_UW[[#This Row],[LEEWAY (deg)]])))</f>
        <v>#ERROR!</v>
      </c>
      <c r="AD32" s="7" t="str">
        <f>DEGREES(ASIN(Targets_UW[[#This Row],[TWSTop]]*SIN(RADIANS(Targets_UW[[#This Row],[TWA (deg)]]+Targets_UW[[#This Row],[LEEWAY (deg)]]))/Targets_UW[[#This Row],[AWSTop]]))</f>
        <v>#ERROR!</v>
      </c>
      <c r="AE32" s="7" t="str">
        <f>Targets_UW[[#This Row],[AWA+Leeway Top]]-Targets_UW[[#This Row],[ROT (deg)]]</f>
        <v>#ERROR!</v>
      </c>
      <c r="AF32" s="7" t="str">
        <f>Targets_UW[[#This Row],[CLEW (deg)]]+Targets_UW[[#This Row],[TWIST (deg)]]</f>
        <v>#ERROR!</v>
      </c>
      <c r="AG32" s="10" t="str">
        <f>Targets_UW[[#This Row],[AWA+Leeway Top]]-Targets_UW[[#This Row],[CA6]]</f>
        <v>#ERROR!</v>
      </c>
      <c r="AH32" s="7" t="str">
        <f>Targets_UW[[#This Row],[AWA+Leeway]]-Targets_UW[[#This Row],[JibLead (deg)]]</f>
        <v>#ERROR!</v>
      </c>
    </row>
    <row r="33" ht="14.25" customHeight="1">
      <c r="A33" s="11" t="s">
        <v>34</v>
      </c>
      <c r="B33" s="12" t="s">
        <v>35</v>
      </c>
      <c r="C33" s="12" t="s">
        <v>37</v>
      </c>
      <c r="D33" s="12">
        <v>24.0</v>
      </c>
      <c r="E33" s="12" t="str">
        <f t="shared" si="1"/>
        <v>Foiling_HSB2_LARW2-24m</v>
      </c>
      <c r="F33" s="12">
        <v>22.0</v>
      </c>
      <c r="G33" s="13" t="str">
        <f>ABS(Targets_UW[[#This Row],[BSP (km/h)]]*COS(RADIANS(Targets_UW[[#This Row],[TWA (deg)]]+Targets_UW[[#This Row],[LEEWAY (deg)]])))</f>
        <v>#ERROR!</v>
      </c>
      <c r="H33" s="13">
        <f t="shared" si="3"/>
        <v>52.07</v>
      </c>
      <c r="I33" s="13">
        <f t="shared" si="4"/>
        <v>51.84</v>
      </c>
      <c r="J33" s="13">
        <f t="shared" si="5"/>
        <v>1.8</v>
      </c>
      <c r="K33" s="13">
        <v>-3.66</v>
      </c>
      <c r="L33" s="13">
        <v>1.0</v>
      </c>
      <c r="M33" s="13" t="str">
        <f>Targets_UW[[#This Row],[CANT (deg)]]-Targets_UW[[#This Row],[HEEL (deg)]]</f>
        <v>#ERROR!</v>
      </c>
      <c r="N33" s="13">
        <f t="shared" si="6"/>
        <v>1160</v>
      </c>
      <c r="O33" s="13">
        <v>0.6</v>
      </c>
      <c r="P33" s="13">
        <v>3.4</v>
      </c>
      <c r="Q33" s="13">
        <f t="shared" ref="Q33:R33" si="12">0.75*Q6+0.25*Q47</f>
        <v>-3.5</v>
      </c>
      <c r="R33" s="13">
        <f t="shared" si="12"/>
        <v>-17.54878972</v>
      </c>
      <c r="S33" s="13" t="str">
        <f>Targets_UW[[#This Row],[CLEW (deg)]]-0.5*Targets_UW[[#This Row],[CA1 (deg)]]</f>
        <v>#ERROR!</v>
      </c>
      <c r="T33" s="13">
        <f t="shared" si="8"/>
        <v>-0.0875</v>
      </c>
      <c r="U33" s="13">
        <v>30.0</v>
      </c>
      <c r="V33" s="13">
        <v>1500.0</v>
      </c>
      <c r="W33" s="13">
        <f t="shared" si="9"/>
        <v>5.75</v>
      </c>
      <c r="X33" s="13"/>
      <c r="Y33" s="13" t="str">
        <f>SQRT(Targets_UW[[#This Row],[TWS (km/h)]]^2+Targets_UW[[#This Row],[BSP (km/h)]]^2+2*Targets_UW[[#This Row],[TWS (km/h)]]*Targets_UW[[#This Row],[BSP (km/h)]]*COS(RADIANS(Targets_UW[[#This Row],[TWA (deg)]]+Targets_UW[[#This Row],[LEEWAY (deg)]])))</f>
        <v>#ERROR!</v>
      </c>
      <c r="Z33" s="13" t="str">
        <f>DEGREES(ASIN(Targets_UW[[#This Row],[TWS (km/h)]]*SIN(RADIANS(Targets_UW[[#This Row],[TWA (deg)]]+Targets_UW[[#This Row],[LEEWAY (deg)]]))/Targets_UW[[#This Row],[AWS]]))</f>
        <v>#ERROR!</v>
      </c>
      <c r="AA33" s="13" t="str">
        <f>Targets_UW[[#This Row],[AWA+Leeway]]-Targets_UW[[#This Row],[ROT (deg)]]</f>
        <v>#ERROR!</v>
      </c>
      <c r="AB33" s="13" t="str">
        <f>Targets_UW[[#This Row],[TWS (km/h)]]*(Targets_UW[[#This Row],[Wing]]/10)^0.1</f>
        <v>#ERROR!</v>
      </c>
      <c r="AC33" s="13" t="str">
        <f>SQRT(Targets_UW[[#This Row],[TWSTop]]^2+Targets_UW[[#This Row],[BSP (km/h)]]^2+2*Targets_UW[[#This Row],[BSP (km/h)]]*Targets_UW[[#This Row],[TWSTop]]*COS(RADIANS(Targets_UW[[#This Row],[TWA (deg)]]+Targets_UW[[#This Row],[LEEWAY (deg)]])))</f>
        <v>#ERROR!</v>
      </c>
      <c r="AD33" s="13" t="str">
        <f>DEGREES(ASIN(Targets_UW[[#This Row],[TWSTop]]*SIN(RADIANS(Targets_UW[[#This Row],[TWA (deg)]]+Targets_UW[[#This Row],[LEEWAY (deg)]]))/Targets_UW[[#This Row],[AWSTop]]))</f>
        <v>#ERROR!</v>
      </c>
      <c r="AE33" s="13" t="str">
        <f>Targets_UW[[#This Row],[AWA+Leeway Top]]-Targets_UW[[#This Row],[ROT (deg)]]</f>
        <v>#ERROR!</v>
      </c>
      <c r="AF33" s="13" t="str">
        <f>Targets_UW[[#This Row],[CLEW (deg)]]+Targets_UW[[#This Row],[TWIST (deg)]]</f>
        <v>#ERROR!</v>
      </c>
      <c r="AG33" s="14" t="str">
        <f>Targets_UW[[#This Row],[AWA+Leeway Top]]-Targets_UW[[#This Row],[CA6]]</f>
        <v>#ERROR!</v>
      </c>
      <c r="AH33" s="7" t="str">
        <f>Targets_UW[[#This Row],[AWA+Leeway]]-Targets_UW[[#This Row],[JibLead (deg)]]</f>
        <v>#ERROR!</v>
      </c>
    </row>
    <row r="34" ht="14.25" customHeight="1">
      <c r="A34" s="3" t="s">
        <v>34</v>
      </c>
      <c r="B34" s="4" t="s">
        <v>38</v>
      </c>
      <c r="C34" s="4" t="s">
        <v>36</v>
      </c>
      <c r="D34" s="4">
        <v>24.0</v>
      </c>
      <c r="E34" s="4" t="str">
        <f t="shared" si="1"/>
        <v>Foiling_LAB2_HSRW2-24m</v>
      </c>
      <c r="F34" s="4">
        <v>14.0</v>
      </c>
      <c r="G34" s="5" t="str">
        <f>ABS(Targets_UW[[#This Row],[BSP (km/h)]]*COS(RADIANS(Targets_UW[[#This Row],[TWA (deg)]]+Targets_UW[[#This Row],[LEEWAY (deg)]])))</f>
        <v>#ERROR!</v>
      </c>
      <c r="H34" s="5">
        <v>43.0</v>
      </c>
      <c r="I34" s="5">
        <v>58.0</v>
      </c>
      <c r="J34" s="5">
        <v>3.0</v>
      </c>
      <c r="K34" s="5">
        <v>4.0</v>
      </c>
      <c r="L34" s="5">
        <v>1.5</v>
      </c>
      <c r="M34" s="5" t="str">
        <f>Targets_UW[[#This Row],[CANT (deg)]]-Targets_UW[[#This Row],[HEEL (deg)]]</f>
        <v>#ERROR!</v>
      </c>
      <c r="N34" s="5">
        <v>1250.0</v>
      </c>
      <c r="O34" s="5">
        <v>1.63</v>
      </c>
      <c r="P34" s="5">
        <v>5.8</v>
      </c>
      <c r="Q34" s="5">
        <v>-3.5</v>
      </c>
      <c r="R34" s="5">
        <v>-19.4</v>
      </c>
      <c r="S34" s="5" t="str">
        <f>Targets_UW[[#This Row],[CLEW (deg)]]-0.5*Targets_UW[[#This Row],[CA1 (deg)]]</f>
        <v>#ERROR!</v>
      </c>
      <c r="T34" s="5">
        <v>-1.0</v>
      </c>
      <c r="U34" s="5">
        <v>16.0</v>
      </c>
      <c r="V34" s="5">
        <v>500.0</v>
      </c>
      <c r="W34" s="5">
        <v>6.0</v>
      </c>
      <c r="X34" s="5"/>
      <c r="Y34" s="5" t="str">
        <f>SQRT(Targets_UW[[#This Row],[TWS (km/h)]]^2+Targets_UW[[#This Row],[BSP (km/h)]]^2+2*Targets_UW[[#This Row],[TWS (km/h)]]*Targets_UW[[#This Row],[BSP (km/h)]]*COS(RADIANS(Targets_UW[[#This Row],[TWA (deg)]]+Targets_UW[[#This Row],[LEEWAY (deg)]])))</f>
        <v>#ERROR!</v>
      </c>
      <c r="Z34" s="5" t="str">
        <f>DEGREES(ASIN(Targets_UW[[#This Row],[TWS (km/h)]]*SIN(RADIANS(Targets_UW[[#This Row],[TWA (deg)]]+Targets_UW[[#This Row],[LEEWAY (deg)]]))/Targets_UW[[#This Row],[AWS]]))</f>
        <v>#ERROR!</v>
      </c>
      <c r="AA34" s="5" t="str">
        <f>Targets_UW[[#This Row],[AWA+Leeway]]-Targets_UW[[#This Row],[ROT (deg)]]</f>
        <v>#ERROR!</v>
      </c>
      <c r="AB34" s="5" t="str">
        <f>Targets_UW[[#This Row],[TWS (km/h)]]*(Targets_UW[[#This Row],[Wing]]/10)^0.1</f>
        <v>#ERROR!</v>
      </c>
      <c r="AC34" s="5" t="str">
        <f>SQRT(Targets_UW[[#This Row],[TWSTop]]^2+Targets_UW[[#This Row],[BSP (km/h)]]^2+2*Targets_UW[[#This Row],[BSP (km/h)]]*Targets_UW[[#This Row],[TWSTop]]*COS(RADIANS(Targets_UW[[#This Row],[TWA (deg)]]+Targets_UW[[#This Row],[LEEWAY (deg)]])))</f>
        <v>#ERROR!</v>
      </c>
      <c r="AD34" s="5" t="str">
        <f>DEGREES(ASIN(Targets_UW[[#This Row],[TWSTop]]*SIN(RADIANS(Targets_UW[[#This Row],[TWA (deg)]]+Targets_UW[[#This Row],[LEEWAY (deg)]]))/Targets_UW[[#This Row],[AWSTop]]))</f>
        <v>#ERROR!</v>
      </c>
      <c r="AE34" s="5" t="str">
        <f>Targets_UW[[#This Row],[AWA+Leeway Top]]-Targets_UW[[#This Row],[ROT (deg)]]</f>
        <v>#ERROR!</v>
      </c>
      <c r="AF34" s="5" t="str">
        <f>Targets_UW[[#This Row],[CLEW (deg)]]+Targets_UW[[#This Row],[TWIST (deg)]]</f>
        <v>#ERROR!</v>
      </c>
      <c r="AG34" s="6" t="str">
        <f>Targets_UW[[#This Row],[AWA+Leeway Top]]-Targets_UW[[#This Row],[CA6]]</f>
        <v>#ERROR!</v>
      </c>
      <c r="AH34" s="7" t="str">
        <f>Targets_UW[[#This Row],[AWA+Leeway]]-Targets_UW[[#This Row],[JibLead (deg)]]</f>
        <v>#ERROR!</v>
      </c>
    </row>
    <row r="35" ht="14.25" customHeight="1">
      <c r="A35" s="8" t="s">
        <v>34</v>
      </c>
      <c r="B35" s="9" t="s">
        <v>38</v>
      </c>
      <c r="C35" s="9" t="s">
        <v>36</v>
      </c>
      <c r="D35" s="9">
        <v>24.0</v>
      </c>
      <c r="E35" s="9" t="str">
        <f t="shared" si="1"/>
        <v>Foiling_LAB2_HSRW2-24m</v>
      </c>
      <c r="F35" s="9">
        <v>16.0</v>
      </c>
      <c r="G35" s="7" t="str">
        <f>ABS(Targets_UW[[#This Row],[BSP (km/h)]]*COS(RADIANS(Targets_UW[[#This Row],[TWA (deg)]]+Targets_UW[[#This Row],[LEEWAY (deg)]])))</f>
        <v>#ERROR!</v>
      </c>
      <c r="H35" s="7">
        <v>43.2</v>
      </c>
      <c r="I35" s="7">
        <v>54.0</v>
      </c>
      <c r="J35" s="7">
        <v>2.5</v>
      </c>
      <c r="K35" s="7">
        <v>4.0</v>
      </c>
      <c r="L35" s="7">
        <v>1.5</v>
      </c>
      <c r="M35" s="7" t="str">
        <f>Targets_UW[[#This Row],[CANT (deg)]]-Targets_UW[[#This Row],[HEEL (deg)]]</f>
        <v>#ERROR!</v>
      </c>
      <c r="N35" s="7">
        <v>1200.0</v>
      </c>
      <c r="O35" s="7">
        <v>1.63</v>
      </c>
      <c r="P35" s="7">
        <v>5.85</v>
      </c>
      <c r="Q35" s="7">
        <v>-3.5</v>
      </c>
      <c r="R35" s="7">
        <v>-18.9</v>
      </c>
      <c r="S35" s="7" t="str">
        <f>Targets_UW[[#This Row],[CLEW (deg)]]-0.5*Targets_UW[[#This Row],[CA1 (deg)]]</f>
        <v>#ERROR!</v>
      </c>
      <c r="T35" s="7">
        <v>-1.0</v>
      </c>
      <c r="U35" s="7">
        <v>20.0</v>
      </c>
      <c r="V35" s="7">
        <v>700.0</v>
      </c>
      <c r="W35" s="7">
        <v>6.2</v>
      </c>
      <c r="X35" s="7"/>
      <c r="Y35" s="7" t="str">
        <f>SQRT(Targets_UW[[#This Row],[TWS (km/h)]]^2+Targets_UW[[#This Row],[BSP (km/h)]]^2+2*Targets_UW[[#This Row],[TWS (km/h)]]*Targets_UW[[#This Row],[BSP (km/h)]]*COS(RADIANS(Targets_UW[[#This Row],[TWA (deg)]]+Targets_UW[[#This Row],[LEEWAY (deg)]])))</f>
        <v>#ERROR!</v>
      </c>
      <c r="Z35" s="7" t="str">
        <f>DEGREES(ASIN(Targets_UW[[#This Row],[TWS (km/h)]]*SIN(RADIANS(Targets_UW[[#This Row],[TWA (deg)]]+Targets_UW[[#This Row],[LEEWAY (deg)]]))/Targets_UW[[#This Row],[AWS]]))</f>
        <v>#ERROR!</v>
      </c>
      <c r="AA35" s="7" t="str">
        <f>Targets_UW[[#This Row],[AWA+Leeway]]-Targets_UW[[#This Row],[ROT (deg)]]</f>
        <v>#ERROR!</v>
      </c>
      <c r="AB35" s="7" t="str">
        <f>Targets_UW[[#This Row],[TWS (km/h)]]*(Targets_UW[[#This Row],[Wing]]/10)^0.1</f>
        <v>#ERROR!</v>
      </c>
      <c r="AC35" s="7" t="str">
        <f>SQRT(Targets_UW[[#This Row],[TWSTop]]^2+Targets_UW[[#This Row],[BSP (km/h)]]^2+2*Targets_UW[[#This Row],[BSP (km/h)]]*Targets_UW[[#This Row],[TWSTop]]*COS(RADIANS(Targets_UW[[#This Row],[TWA (deg)]]+Targets_UW[[#This Row],[LEEWAY (deg)]])))</f>
        <v>#ERROR!</v>
      </c>
      <c r="AD35" s="7" t="str">
        <f>DEGREES(ASIN(Targets_UW[[#This Row],[TWSTop]]*SIN(RADIANS(Targets_UW[[#This Row],[TWA (deg)]]+Targets_UW[[#This Row],[LEEWAY (deg)]]))/Targets_UW[[#This Row],[AWSTop]]))</f>
        <v>#ERROR!</v>
      </c>
      <c r="AE35" s="7" t="str">
        <f>Targets_UW[[#This Row],[AWA+Leeway Top]]-Targets_UW[[#This Row],[ROT (deg)]]</f>
        <v>#ERROR!</v>
      </c>
      <c r="AF35" s="7" t="str">
        <f>Targets_UW[[#This Row],[CLEW (deg)]]+Targets_UW[[#This Row],[TWIST (deg)]]</f>
        <v>#ERROR!</v>
      </c>
      <c r="AG35" s="10" t="str">
        <f>Targets_UW[[#This Row],[AWA+Leeway Top]]-Targets_UW[[#This Row],[CA6]]</f>
        <v>#ERROR!</v>
      </c>
      <c r="AH35" s="7" t="str">
        <f>Targets_UW[[#This Row],[AWA+Leeway]]-Targets_UW[[#This Row],[JibLead (deg)]]</f>
        <v>#ERROR!</v>
      </c>
    </row>
    <row r="36" ht="14.25" customHeight="1">
      <c r="A36" s="8" t="s">
        <v>34</v>
      </c>
      <c r="B36" s="9" t="s">
        <v>38</v>
      </c>
      <c r="C36" s="9" t="s">
        <v>36</v>
      </c>
      <c r="D36" s="9">
        <v>24.0</v>
      </c>
      <c r="E36" s="9" t="str">
        <f t="shared" si="1"/>
        <v>Foiling_LAB2_HSRW2-24m</v>
      </c>
      <c r="F36" s="9">
        <v>18.0</v>
      </c>
      <c r="G36" s="7" t="str">
        <f>ABS(Targets_UW[[#This Row],[BSP (km/h)]]*COS(RADIANS(Targets_UW[[#This Row],[TWA (deg)]]+Targets_UW[[#This Row],[LEEWAY (deg)]])))</f>
        <v>#ERROR!</v>
      </c>
      <c r="H36" s="7">
        <v>44.2</v>
      </c>
      <c r="I36" s="7">
        <v>52.0</v>
      </c>
      <c r="J36" s="7">
        <v>2.0</v>
      </c>
      <c r="K36" s="7">
        <v>2.5</v>
      </c>
      <c r="L36" s="7">
        <v>1.5</v>
      </c>
      <c r="M36" s="7" t="str">
        <f>Targets_UW[[#This Row],[CANT (deg)]]-Targets_UW[[#This Row],[HEEL (deg)]]</f>
        <v>#ERROR!</v>
      </c>
      <c r="N36" s="7">
        <v>1175.0</v>
      </c>
      <c r="O36" s="7">
        <v>1.63</v>
      </c>
      <c r="P36" s="7">
        <v>5.8999999999999995</v>
      </c>
      <c r="Q36" s="7">
        <v>-3.5</v>
      </c>
      <c r="R36" s="7">
        <v>-18.5</v>
      </c>
      <c r="S36" s="7" t="str">
        <f>Targets_UW[[#This Row],[CLEW (deg)]]-0.5*Targets_UW[[#This Row],[CA1 (deg)]]</f>
        <v>#ERROR!</v>
      </c>
      <c r="T36" s="7">
        <v>-1.0</v>
      </c>
      <c r="U36" s="7">
        <v>24.0</v>
      </c>
      <c r="V36" s="7">
        <v>870.0</v>
      </c>
      <c r="W36" s="7">
        <v>6.3</v>
      </c>
      <c r="X36" s="7"/>
      <c r="Y36" s="7" t="str">
        <f>SQRT(Targets_UW[[#This Row],[TWS (km/h)]]^2+Targets_UW[[#This Row],[BSP (km/h)]]^2+2*Targets_UW[[#This Row],[TWS (km/h)]]*Targets_UW[[#This Row],[BSP (km/h)]]*COS(RADIANS(Targets_UW[[#This Row],[TWA (deg)]]+Targets_UW[[#This Row],[LEEWAY (deg)]])))</f>
        <v>#ERROR!</v>
      </c>
      <c r="Z36" s="7" t="str">
        <f>DEGREES(ASIN(Targets_UW[[#This Row],[TWS (km/h)]]*SIN(RADIANS(Targets_UW[[#This Row],[TWA (deg)]]+Targets_UW[[#This Row],[LEEWAY (deg)]]))/Targets_UW[[#This Row],[AWS]]))</f>
        <v>#ERROR!</v>
      </c>
      <c r="AA36" s="7" t="str">
        <f>Targets_UW[[#This Row],[AWA+Leeway]]-Targets_UW[[#This Row],[ROT (deg)]]</f>
        <v>#ERROR!</v>
      </c>
      <c r="AB36" s="7" t="str">
        <f>Targets_UW[[#This Row],[TWS (km/h)]]*(Targets_UW[[#This Row],[Wing]]/10)^0.1</f>
        <v>#ERROR!</v>
      </c>
      <c r="AC36" s="7" t="str">
        <f>SQRT(Targets_UW[[#This Row],[TWSTop]]^2+Targets_UW[[#This Row],[BSP (km/h)]]^2+2*Targets_UW[[#This Row],[BSP (km/h)]]*Targets_UW[[#This Row],[TWSTop]]*COS(RADIANS(Targets_UW[[#This Row],[TWA (deg)]]+Targets_UW[[#This Row],[LEEWAY (deg)]])))</f>
        <v>#ERROR!</v>
      </c>
      <c r="AD36" s="7" t="str">
        <f>DEGREES(ASIN(Targets_UW[[#This Row],[TWSTop]]*SIN(RADIANS(Targets_UW[[#This Row],[TWA (deg)]]+Targets_UW[[#This Row],[LEEWAY (deg)]]))/Targets_UW[[#This Row],[AWSTop]]))</f>
        <v>#ERROR!</v>
      </c>
      <c r="AE36" s="7" t="str">
        <f>Targets_UW[[#This Row],[AWA+Leeway Top]]-Targets_UW[[#This Row],[ROT (deg)]]</f>
        <v>#ERROR!</v>
      </c>
      <c r="AF36" s="7" t="str">
        <f>Targets_UW[[#This Row],[CLEW (deg)]]+Targets_UW[[#This Row],[TWIST (deg)]]</f>
        <v>#ERROR!</v>
      </c>
      <c r="AG36" s="10" t="str">
        <f>Targets_UW[[#This Row],[AWA+Leeway Top]]-Targets_UW[[#This Row],[CA6]]</f>
        <v>#ERROR!</v>
      </c>
      <c r="AH36" s="7" t="str">
        <f>Targets_UW[[#This Row],[AWA+Leeway]]-Targets_UW[[#This Row],[JibLead (deg)]]</f>
        <v>#ERROR!</v>
      </c>
    </row>
    <row r="37" ht="14.25" customHeight="1">
      <c r="A37" s="8" t="s">
        <v>34</v>
      </c>
      <c r="B37" s="9" t="s">
        <v>38</v>
      </c>
      <c r="C37" s="9" t="s">
        <v>36</v>
      </c>
      <c r="D37" s="9">
        <v>24.0</v>
      </c>
      <c r="E37" s="9" t="str">
        <f t="shared" si="1"/>
        <v>Foiling_LAB2_HSRW2-24m</v>
      </c>
      <c r="F37" s="9">
        <v>20.0</v>
      </c>
      <c r="G37" s="7" t="str">
        <f>ABS(Targets_UW[[#This Row],[BSP (km/h)]]*COS(RADIANS(Targets_UW[[#This Row],[TWA (deg)]]+Targets_UW[[#This Row],[LEEWAY (deg)]])))</f>
        <v>#ERROR!</v>
      </c>
      <c r="H37" s="7">
        <v>45.5</v>
      </c>
      <c r="I37" s="7">
        <v>49.8</v>
      </c>
      <c r="J37" s="7">
        <v>1.85</v>
      </c>
      <c r="K37" s="7">
        <v>0.7999999999999998</v>
      </c>
      <c r="L37" s="7">
        <v>1.5</v>
      </c>
      <c r="M37" s="7" t="str">
        <f>Targets_UW[[#This Row],[CANT (deg)]]-Targets_UW[[#This Row],[HEEL (deg)]]</f>
        <v>#ERROR!</v>
      </c>
      <c r="N37" s="7">
        <v>1150.0</v>
      </c>
      <c r="O37" s="7">
        <v>1.61</v>
      </c>
      <c r="P37" s="7">
        <v>5.56</v>
      </c>
      <c r="Q37" s="7">
        <v>-3.5</v>
      </c>
      <c r="R37" s="7">
        <v>-18.1</v>
      </c>
      <c r="S37" s="7" t="str">
        <f>Targets_UW[[#This Row],[CLEW (deg)]]-0.5*Targets_UW[[#This Row],[CA1 (deg)]]</f>
        <v>#ERROR!</v>
      </c>
      <c r="T37" s="7">
        <v>-0.5</v>
      </c>
      <c r="U37" s="7">
        <v>26.0</v>
      </c>
      <c r="V37" s="7">
        <v>1100.0</v>
      </c>
      <c r="W37" s="7">
        <v>6.4</v>
      </c>
      <c r="X37" s="7"/>
      <c r="Y37" s="7" t="str">
        <f>SQRT(Targets_UW[[#This Row],[TWS (km/h)]]^2+Targets_UW[[#This Row],[BSP (km/h)]]^2+2*Targets_UW[[#This Row],[TWS (km/h)]]*Targets_UW[[#This Row],[BSP (km/h)]]*COS(RADIANS(Targets_UW[[#This Row],[TWA (deg)]]+Targets_UW[[#This Row],[LEEWAY (deg)]])))</f>
        <v>#ERROR!</v>
      </c>
      <c r="Z37" s="7" t="str">
        <f>DEGREES(ASIN(Targets_UW[[#This Row],[TWS (km/h)]]*SIN(RADIANS(Targets_UW[[#This Row],[TWA (deg)]]+Targets_UW[[#This Row],[LEEWAY (deg)]]))/Targets_UW[[#This Row],[AWS]]))</f>
        <v>#ERROR!</v>
      </c>
      <c r="AA37" s="7" t="str">
        <f>Targets_UW[[#This Row],[AWA+Leeway]]-Targets_UW[[#This Row],[ROT (deg)]]</f>
        <v>#ERROR!</v>
      </c>
      <c r="AB37" s="7" t="str">
        <f>Targets_UW[[#This Row],[TWS (km/h)]]*(Targets_UW[[#This Row],[Wing]]/10)^0.1</f>
        <v>#ERROR!</v>
      </c>
      <c r="AC37" s="7" t="str">
        <f>SQRT(Targets_UW[[#This Row],[TWSTop]]^2+Targets_UW[[#This Row],[BSP (km/h)]]^2+2*Targets_UW[[#This Row],[BSP (km/h)]]*Targets_UW[[#This Row],[TWSTop]]*COS(RADIANS(Targets_UW[[#This Row],[TWA (deg)]]+Targets_UW[[#This Row],[LEEWAY (deg)]])))</f>
        <v>#ERROR!</v>
      </c>
      <c r="AD37" s="7" t="str">
        <f>DEGREES(ASIN(Targets_UW[[#This Row],[TWSTop]]*SIN(RADIANS(Targets_UW[[#This Row],[TWA (deg)]]+Targets_UW[[#This Row],[LEEWAY (deg)]]))/Targets_UW[[#This Row],[AWSTop]]))</f>
        <v>#ERROR!</v>
      </c>
      <c r="AE37" s="7" t="str">
        <f>Targets_UW[[#This Row],[AWA+Leeway Top]]-Targets_UW[[#This Row],[ROT (deg)]]</f>
        <v>#ERROR!</v>
      </c>
      <c r="AF37" s="7" t="str">
        <f>Targets_UW[[#This Row],[CLEW (deg)]]+Targets_UW[[#This Row],[TWIST (deg)]]</f>
        <v>#ERROR!</v>
      </c>
      <c r="AG37" s="10" t="str">
        <f>Targets_UW[[#This Row],[AWA+Leeway Top]]-Targets_UW[[#This Row],[CA6]]</f>
        <v>#ERROR!</v>
      </c>
      <c r="AH37" s="7" t="str">
        <f>Targets_UW[[#This Row],[AWA+Leeway]]-Targets_UW[[#This Row],[JibLead (deg)]]</f>
        <v>#ERROR!</v>
      </c>
    </row>
    <row r="38" ht="14.25" customHeight="1">
      <c r="A38" s="8" t="s">
        <v>34</v>
      </c>
      <c r="B38" s="9" t="s">
        <v>38</v>
      </c>
      <c r="C38" s="9" t="s">
        <v>36</v>
      </c>
      <c r="D38" s="9">
        <v>24.0</v>
      </c>
      <c r="E38" s="9" t="str">
        <f t="shared" si="1"/>
        <v>Foiling_LAB2_HSRW2-24m</v>
      </c>
      <c r="F38" s="9">
        <v>22.0</v>
      </c>
      <c r="G38" s="7" t="str">
        <f>ABS(Targets_UW[[#This Row],[BSP (km/h)]]*COS(RADIANS(Targets_UW[[#This Row],[TWA (deg)]]+Targets_UW[[#This Row],[LEEWAY (deg)]])))</f>
        <v>#ERROR!</v>
      </c>
      <c r="H38" s="7">
        <v>48.3</v>
      </c>
      <c r="I38" s="7">
        <v>49.4</v>
      </c>
      <c r="J38" s="7">
        <v>1.8</v>
      </c>
      <c r="K38" s="7">
        <v>-2.2</v>
      </c>
      <c r="L38" s="7">
        <v>1.5</v>
      </c>
      <c r="M38" s="7" t="str">
        <f>Targets_UW[[#This Row],[CANT (deg)]]-Targets_UW[[#This Row],[HEEL (deg)]]</f>
        <v>#ERROR!</v>
      </c>
      <c r="N38" s="7">
        <v>1125.0</v>
      </c>
      <c r="O38" s="7">
        <v>1.49</v>
      </c>
      <c r="P38" s="7">
        <v>5.21</v>
      </c>
      <c r="Q38" s="7">
        <v>-3.5</v>
      </c>
      <c r="R38" s="7">
        <v>-17.7</v>
      </c>
      <c r="S38" s="7" t="str">
        <f>Targets_UW[[#This Row],[CLEW (deg)]]-0.5*Targets_UW[[#This Row],[CA1 (deg)]]</f>
        <v>#ERROR!</v>
      </c>
      <c r="T38" s="7">
        <v>-0.2</v>
      </c>
      <c r="U38" s="7">
        <v>27.5</v>
      </c>
      <c r="V38" s="7">
        <v>1300.0</v>
      </c>
      <c r="W38" s="7">
        <v>6.5</v>
      </c>
      <c r="X38" s="7"/>
      <c r="Y38" s="7" t="str">
        <f>SQRT(Targets_UW[[#This Row],[TWS (km/h)]]^2+Targets_UW[[#This Row],[BSP (km/h)]]^2+2*Targets_UW[[#This Row],[TWS (km/h)]]*Targets_UW[[#This Row],[BSP (km/h)]]*COS(RADIANS(Targets_UW[[#This Row],[TWA (deg)]]+Targets_UW[[#This Row],[LEEWAY (deg)]])))</f>
        <v>#ERROR!</v>
      </c>
      <c r="Z38" s="7" t="str">
        <f>DEGREES(ASIN(Targets_UW[[#This Row],[TWS (km/h)]]*SIN(RADIANS(Targets_UW[[#This Row],[TWA (deg)]]+Targets_UW[[#This Row],[LEEWAY (deg)]]))/Targets_UW[[#This Row],[AWS]]))</f>
        <v>#ERROR!</v>
      </c>
      <c r="AA38" s="7" t="str">
        <f>Targets_UW[[#This Row],[AWA+Leeway]]-Targets_UW[[#This Row],[ROT (deg)]]</f>
        <v>#ERROR!</v>
      </c>
      <c r="AB38" s="7" t="str">
        <f>Targets_UW[[#This Row],[TWS (km/h)]]*(Targets_UW[[#This Row],[Wing]]/10)^0.1</f>
        <v>#ERROR!</v>
      </c>
      <c r="AC38" s="7" t="str">
        <f>SQRT(Targets_UW[[#This Row],[TWSTop]]^2+Targets_UW[[#This Row],[BSP (km/h)]]^2+2*Targets_UW[[#This Row],[BSP (km/h)]]*Targets_UW[[#This Row],[TWSTop]]*COS(RADIANS(Targets_UW[[#This Row],[TWA (deg)]]+Targets_UW[[#This Row],[LEEWAY (deg)]])))</f>
        <v>#ERROR!</v>
      </c>
      <c r="AD38" s="7" t="str">
        <f>DEGREES(ASIN(Targets_UW[[#This Row],[TWSTop]]*SIN(RADIANS(Targets_UW[[#This Row],[TWA (deg)]]+Targets_UW[[#This Row],[LEEWAY (deg)]]))/Targets_UW[[#This Row],[AWSTop]]))</f>
        <v>#ERROR!</v>
      </c>
      <c r="AE38" s="7" t="str">
        <f>Targets_UW[[#This Row],[AWA+Leeway Top]]-Targets_UW[[#This Row],[ROT (deg)]]</f>
        <v>#ERROR!</v>
      </c>
      <c r="AF38" s="7" t="str">
        <f>Targets_UW[[#This Row],[CLEW (deg)]]+Targets_UW[[#This Row],[TWIST (deg)]]</f>
        <v>#ERROR!</v>
      </c>
      <c r="AG38" s="10" t="str">
        <f>Targets_UW[[#This Row],[AWA+Leeway Top]]-Targets_UW[[#This Row],[CA6]]</f>
        <v>#ERROR!</v>
      </c>
      <c r="AH38" s="7" t="str">
        <f>Targets_UW[[#This Row],[AWA+Leeway]]-Targets_UW[[#This Row],[JibLead (deg)]]</f>
        <v>#ERROR!</v>
      </c>
    </row>
    <row r="39" ht="14.25" customHeight="1">
      <c r="A39" s="8" t="s">
        <v>34</v>
      </c>
      <c r="B39" s="9" t="s">
        <v>38</v>
      </c>
      <c r="C39" s="9" t="s">
        <v>36</v>
      </c>
      <c r="D39" s="9">
        <v>24.0</v>
      </c>
      <c r="E39" s="9" t="str">
        <f t="shared" si="1"/>
        <v>Foiling_LAB2_HSRW2-24m</v>
      </c>
      <c r="F39" s="9">
        <v>24.0</v>
      </c>
      <c r="G39" s="7" t="str">
        <f>ABS(Targets_UW[[#This Row],[BSP (km/h)]]*COS(RADIANS(Targets_UW[[#This Row],[TWA (deg)]]+Targets_UW[[#This Row],[LEEWAY (deg)]])))</f>
        <v>#ERROR!</v>
      </c>
      <c r="H39" s="7">
        <v>51.1</v>
      </c>
      <c r="I39" s="7">
        <v>49.1</v>
      </c>
      <c r="J39" s="7">
        <v>1.7</v>
      </c>
      <c r="K39" s="7">
        <v>-5.0</v>
      </c>
      <c r="L39" s="7">
        <v>1.5</v>
      </c>
      <c r="M39" s="7" t="str">
        <f>Targets_UW[[#This Row],[CANT (deg)]]-Targets_UW[[#This Row],[HEEL (deg)]]</f>
        <v>#ERROR!</v>
      </c>
      <c r="N39" s="7">
        <v>1100.0</v>
      </c>
      <c r="O39" s="7">
        <v>1.37</v>
      </c>
      <c r="P39" s="7">
        <v>4.8</v>
      </c>
      <c r="Q39" s="7">
        <v>-3.5</v>
      </c>
      <c r="R39" s="7">
        <v>-17.3</v>
      </c>
      <c r="S39" s="7" t="str">
        <f>Targets_UW[[#This Row],[CLEW (deg)]]-0.5*Targets_UW[[#This Row],[CA1 (deg)]]</f>
        <v>#ERROR!</v>
      </c>
      <c r="T39" s="7">
        <v>0.0</v>
      </c>
      <c r="U39" s="7">
        <v>28.5</v>
      </c>
      <c r="V39" s="7">
        <v>1550.0</v>
      </c>
      <c r="W39" s="7">
        <v>6.5</v>
      </c>
      <c r="X39" s="7"/>
      <c r="Y39" s="7" t="str">
        <f>SQRT(Targets_UW[[#This Row],[TWS (km/h)]]^2+Targets_UW[[#This Row],[BSP (km/h)]]^2+2*Targets_UW[[#This Row],[TWS (km/h)]]*Targets_UW[[#This Row],[BSP (km/h)]]*COS(RADIANS(Targets_UW[[#This Row],[TWA (deg)]]+Targets_UW[[#This Row],[LEEWAY (deg)]])))</f>
        <v>#ERROR!</v>
      </c>
      <c r="Z39" s="7" t="str">
        <f>DEGREES(ASIN(Targets_UW[[#This Row],[TWS (km/h)]]*SIN(RADIANS(Targets_UW[[#This Row],[TWA (deg)]]+Targets_UW[[#This Row],[LEEWAY (deg)]]))/Targets_UW[[#This Row],[AWS]]))</f>
        <v>#ERROR!</v>
      </c>
      <c r="AA39" s="7" t="str">
        <f>Targets_UW[[#This Row],[AWA+Leeway]]-Targets_UW[[#This Row],[ROT (deg)]]</f>
        <v>#ERROR!</v>
      </c>
      <c r="AB39" s="7" t="str">
        <f>Targets_UW[[#This Row],[TWS (km/h)]]*(Targets_UW[[#This Row],[Wing]]/10)^0.1</f>
        <v>#ERROR!</v>
      </c>
      <c r="AC39" s="7" t="str">
        <f>SQRT(Targets_UW[[#This Row],[TWSTop]]^2+Targets_UW[[#This Row],[BSP (km/h)]]^2+2*Targets_UW[[#This Row],[BSP (km/h)]]*Targets_UW[[#This Row],[TWSTop]]*COS(RADIANS(Targets_UW[[#This Row],[TWA (deg)]]+Targets_UW[[#This Row],[LEEWAY (deg)]])))</f>
        <v>#ERROR!</v>
      </c>
      <c r="AD39" s="7" t="str">
        <f>DEGREES(ASIN(Targets_UW[[#This Row],[TWSTop]]*SIN(RADIANS(Targets_UW[[#This Row],[TWA (deg)]]+Targets_UW[[#This Row],[LEEWAY (deg)]]))/Targets_UW[[#This Row],[AWSTop]]))</f>
        <v>#ERROR!</v>
      </c>
      <c r="AE39" s="7" t="str">
        <f>Targets_UW[[#This Row],[AWA+Leeway Top]]-Targets_UW[[#This Row],[ROT (deg)]]</f>
        <v>#ERROR!</v>
      </c>
      <c r="AF39" s="7" t="str">
        <f>Targets_UW[[#This Row],[CLEW (deg)]]+Targets_UW[[#This Row],[TWIST (deg)]]</f>
        <v>#ERROR!</v>
      </c>
      <c r="AG39" s="10" t="str">
        <f>Targets_UW[[#This Row],[AWA+Leeway Top]]-Targets_UW[[#This Row],[CA6]]</f>
        <v>#ERROR!</v>
      </c>
      <c r="AH39" s="7" t="str">
        <f>Targets_UW[[#This Row],[AWA+Leeway]]-Targets_UW[[#This Row],[JibLead (deg)]]</f>
        <v>#ERROR!</v>
      </c>
    </row>
    <row r="40" ht="14.25" customHeight="1">
      <c r="A40" s="8" t="s">
        <v>34</v>
      </c>
      <c r="B40" s="9" t="s">
        <v>38</v>
      </c>
      <c r="C40" s="9" t="s">
        <v>36</v>
      </c>
      <c r="D40" s="9">
        <v>24.0</v>
      </c>
      <c r="E40" s="9" t="str">
        <f t="shared" si="1"/>
        <v>Foiling_LAB2_HSRW2-24m</v>
      </c>
      <c r="F40" s="9">
        <v>26.0</v>
      </c>
      <c r="G40" s="7" t="str">
        <f>ABS(Targets_UW[[#This Row],[BSP (km/h)]]*COS(RADIANS(Targets_UW[[#This Row],[TWA (deg)]]+Targets_UW[[#This Row],[LEEWAY (deg)]])))</f>
        <v>#ERROR!</v>
      </c>
      <c r="H40" s="7">
        <v>53.5</v>
      </c>
      <c r="I40" s="7">
        <v>48.8</v>
      </c>
      <c r="J40" s="7">
        <v>1.6</v>
      </c>
      <c r="K40" s="7">
        <v>-7.0</v>
      </c>
      <c r="L40" s="7">
        <v>1.5</v>
      </c>
      <c r="M40" s="7" t="str">
        <f>Targets_UW[[#This Row],[CANT (deg)]]-Targets_UW[[#This Row],[HEEL (deg)]]</f>
        <v>#ERROR!</v>
      </c>
      <c r="N40" s="7">
        <v>1075.0</v>
      </c>
      <c r="O40" s="7">
        <v>1.25</v>
      </c>
      <c r="P40" s="7">
        <v>4.6000000000000005</v>
      </c>
      <c r="Q40" s="7">
        <v>-3.5</v>
      </c>
      <c r="R40" s="7">
        <v>-17.1</v>
      </c>
      <c r="S40" s="7" t="str">
        <f>Targets_UW[[#This Row],[CLEW (deg)]]-0.5*Targets_UW[[#This Row],[CA1 (deg)]]</f>
        <v>#ERROR!</v>
      </c>
      <c r="T40" s="7">
        <v>0.2</v>
      </c>
      <c r="U40" s="7">
        <v>30.0</v>
      </c>
      <c r="V40" s="7">
        <v>1700.0</v>
      </c>
      <c r="W40" s="7">
        <v>6.5</v>
      </c>
      <c r="X40" s="7"/>
      <c r="Y40" s="7" t="str">
        <f>SQRT(Targets_UW[[#This Row],[TWS (km/h)]]^2+Targets_UW[[#This Row],[BSP (km/h)]]^2+2*Targets_UW[[#This Row],[TWS (km/h)]]*Targets_UW[[#This Row],[BSP (km/h)]]*COS(RADIANS(Targets_UW[[#This Row],[TWA (deg)]]+Targets_UW[[#This Row],[LEEWAY (deg)]])))</f>
        <v>#ERROR!</v>
      </c>
      <c r="Z40" s="7" t="str">
        <f>DEGREES(ASIN(Targets_UW[[#This Row],[TWS (km/h)]]*SIN(RADIANS(Targets_UW[[#This Row],[TWA (deg)]]+Targets_UW[[#This Row],[LEEWAY (deg)]]))/Targets_UW[[#This Row],[AWS]]))</f>
        <v>#ERROR!</v>
      </c>
      <c r="AA40" s="7" t="str">
        <f>Targets_UW[[#This Row],[AWA+Leeway]]-Targets_UW[[#This Row],[ROT (deg)]]</f>
        <v>#ERROR!</v>
      </c>
      <c r="AB40" s="7" t="str">
        <f>Targets_UW[[#This Row],[TWS (km/h)]]*(Targets_UW[[#This Row],[Wing]]/10)^0.1</f>
        <v>#ERROR!</v>
      </c>
      <c r="AC40" s="7" t="str">
        <f>SQRT(Targets_UW[[#This Row],[TWSTop]]^2+Targets_UW[[#This Row],[BSP (km/h)]]^2+2*Targets_UW[[#This Row],[BSP (km/h)]]*Targets_UW[[#This Row],[TWSTop]]*COS(RADIANS(Targets_UW[[#This Row],[TWA (deg)]]+Targets_UW[[#This Row],[LEEWAY (deg)]])))</f>
        <v>#ERROR!</v>
      </c>
      <c r="AD40" s="7" t="str">
        <f>DEGREES(ASIN(Targets_UW[[#This Row],[TWSTop]]*SIN(RADIANS(Targets_UW[[#This Row],[TWA (deg)]]+Targets_UW[[#This Row],[LEEWAY (deg)]]))/Targets_UW[[#This Row],[AWSTop]]))</f>
        <v>#ERROR!</v>
      </c>
      <c r="AE40" s="7" t="str">
        <f>Targets_UW[[#This Row],[AWA+Leeway Top]]-Targets_UW[[#This Row],[ROT (deg)]]</f>
        <v>#ERROR!</v>
      </c>
      <c r="AF40" s="7" t="str">
        <f>Targets_UW[[#This Row],[CLEW (deg)]]+Targets_UW[[#This Row],[TWIST (deg)]]</f>
        <v>#ERROR!</v>
      </c>
      <c r="AG40" s="10" t="str">
        <f>Targets_UW[[#This Row],[AWA+Leeway Top]]-Targets_UW[[#This Row],[CA6]]</f>
        <v>#ERROR!</v>
      </c>
      <c r="AH40" s="7" t="str">
        <f>Targets_UW[[#This Row],[AWA+Leeway]]-Targets_UW[[#This Row],[JibLead (deg)]]</f>
        <v>#ERROR!</v>
      </c>
    </row>
    <row r="41" ht="14.25" customHeight="1">
      <c r="A41" s="11" t="s">
        <v>34</v>
      </c>
      <c r="B41" s="12" t="s">
        <v>38</v>
      </c>
      <c r="C41" s="12" t="s">
        <v>36</v>
      </c>
      <c r="D41" s="12">
        <v>24.0</v>
      </c>
      <c r="E41" s="12" t="str">
        <f t="shared" si="1"/>
        <v>Foiling_LAB2_HSRW2-24m</v>
      </c>
      <c r="F41" s="12">
        <v>28.0</v>
      </c>
      <c r="G41" s="13" t="str">
        <f>ABS(Targets_UW[[#This Row],[BSP (km/h)]]*COS(RADIANS(Targets_UW[[#This Row],[TWA (deg)]]+Targets_UW[[#This Row],[LEEWAY (deg)]])))</f>
        <v>#ERROR!</v>
      </c>
      <c r="H41" s="13">
        <v>55.0</v>
      </c>
      <c r="I41" s="13">
        <v>48.0</v>
      </c>
      <c r="J41" s="13">
        <v>1.5</v>
      </c>
      <c r="K41" s="13">
        <v>-7.6</v>
      </c>
      <c r="L41" s="13">
        <v>1.5</v>
      </c>
      <c r="M41" s="13" t="str">
        <f>Targets_UW[[#This Row],[CANT (deg)]]-Targets_UW[[#This Row],[HEEL (deg)]]</f>
        <v>#ERROR!</v>
      </c>
      <c r="N41" s="13">
        <v>1050.0</v>
      </c>
      <c r="O41" s="13">
        <v>1.15</v>
      </c>
      <c r="P41" s="13">
        <v>4.45</v>
      </c>
      <c r="Q41" s="13">
        <v>-3.5</v>
      </c>
      <c r="R41" s="13">
        <v>-17.0</v>
      </c>
      <c r="S41" s="13" t="str">
        <f>Targets_UW[[#This Row],[CLEW (deg)]]-0.5*Targets_UW[[#This Row],[CA1 (deg)]]</f>
        <v>#ERROR!</v>
      </c>
      <c r="T41" s="13">
        <v>0.5</v>
      </c>
      <c r="U41" s="13">
        <v>31.0</v>
      </c>
      <c r="V41" s="13">
        <v>1800.0</v>
      </c>
      <c r="W41" s="13">
        <v>6.5</v>
      </c>
      <c r="X41" s="13"/>
      <c r="Y41" s="13" t="str">
        <f>SQRT(Targets_UW[[#This Row],[TWS (km/h)]]^2+Targets_UW[[#This Row],[BSP (km/h)]]^2+2*Targets_UW[[#This Row],[TWS (km/h)]]*Targets_UW[[#This Row],[BSP (km/h)]]*COS(RADIANS(Targets_UW[[#This Row],[TWA (deg)]]+Targets_UW[[#This Row],[LEEWAY (deg)]])))</f>
        <v>#ERROR!</v>
      </c>
      <c r="Z41" s="13" t="str">
        <f>DEGREES(ASIN(Targets_UW[[#This Row],[TWS (km/h)]]*SIN(RADIANS(Targets_UW[[#This Row],[TWA (deg)]]+Targets_UW[[#This Row],[LEEWAY (deg)]]))/Targets_UW[[#This Row],[AWS]]))</f>
        <v>#ERROR!</v>
      </c>
      <c r="AA41" s="13" t="str">
        <f>Targets_UW[[#This Row],[AWA+Leeway]]-Targets_UW[[#This Row],[ROT (deg)]]</f>
        <v>#ERROR!</v>
      </c>
      <c r="AB41" s="13" t="str">
        <f>Targets_UW[[#This Row],[TWS (km/h)]]*(Targets_UW[[#This Row],[Wing]]/10)^0.1</f>
        <v>#ERROR!</v>
      </c>
      <c r="AC41" s="13" t="str">
        <f>SQRT(Targets_UW[[#This Row],[TWSTop]]^2+Targets_UW[[#This Row],[BSP (km/h)]]^2+2*Targets_UW[[#This Row],[BSP (km/h)]]*Targets_UW[[#This Row],[TWSTop]]*COS(RADIANS(Targets_UW[[#This Row],[TWA (deg)]]+Targets_UW[[#This Row],[LEEWAY (deg)]])))</f>
        <v>#ERROR!</v>
      </c>
      <c r="AD41" s="13" t="str">
        <f>DEGREES(ASIN(Targets_UW[[#This Row],[TWSTop]]*SIN(RADIANS(Targets_UW[[#This Row],[TWA (deg)]]+Targets_UW[[#This Row],[LEEWAY (deg)]]))/Targets_UW[[#This Row],[AWSTop]]))</f>
        <v>#ERROR!</v>
      </c>
      <c r="AE41" s="13" t="str">
        <f>Targets_UW[[#This Row],[AWA+Leeway Top]]-Targets_UW[[#This Row],[ROT (deg)]]</f>
        <v>#ERROR!</v>
      </c>
      <c r="AF41" s="13" t="str">
        <f>Targets_UW[[#This Row],[CLEW (deg)]]+Targets_UW[[#This Row],[TWIST (deg)]]</f>
        <v>#ERROR!</v>
      </c>
      <c r="AG41" s="14" t="str">
        <f>Targets_UW[[#This Row],[AWA+Leeway Top]]-Targets_UW[[#This Row],[CA6]]</f>
        <v>#ERROR!</v>
      </c>
      <c r="AH41" s="7" t="str">
        <f>Targets_UW[[#This Row],[AWA+Leeway]]-Targets_UW[[#This Row],[JibLead (deg)]]</f>
        <v>#ERROR!</v>
      </c>
    </row>
    <row r="42" ht="14.25" customHeight="1">
      <c r="A42" s="3" t="s">
        <v>34</v>
      </c>
      <c r="B42" s="4" t="s">
        <v>38</v>
      </c>
      <c r="C42" s="4" t="s">
        <v>37</v>
      </c>
      <c r="D42" s="4">
        <v>24.0</v>
      </c>
      <c r="E42" s="4" t="str">
        <f t="shared" si="1"/>
        <v>Foiling_LAB2_LARW2-24m</v>
      </c>
      <c r="F42" s="4">
        <v>12.0</v>
      </c>
      <c r="G42" s="5" t="str">
        <f>ABS(Targets_UW[[#This Row],[BSP (km/h)]]*COS(RADIANS(Targets_UW[[#This Row],[TWA (deg)]]+Targets_UW[[#This Row],[LEEWAY (deg)]])))</f>
        <v>#ERROR!</v>
      </c>
      <c r="H42" s="5">
        <v>39.0</v>
      </c>
      <c r="I42" s="5">
        <v>62.0</v>
      </c>
      <c r="J42" s="5">
        <v>3.0</v>
      </c>
      <c r="K42" s="5">
        <v>5.0</v>
      </c>
      <c r="L42" s="5">
        <v>1.5</v>
      </c>
      <c r="M42" s="5" t="str">
        <f>Targets_UW[[#This Row],[CANT (deg)]]-Targets_UW[[#This Row],[HEEL (deg)]]</f>
        <v>#ERROR!</v>
      </c>
      <c r="N42" s="5">
        <v>1250.0</v>
      </c>
      <c r="O42" s="5">
        <v>2.2</v>
      </c>
      <c r="P42" s="5">
        <v>4.1</v>
      </c>
      <c r="Q42" s="5">
        <v>-3.5</v>
      </c>
      <c r="R42" s="5">
        <v>-19.4</v>
      </c>
      <c r="S42" s="5" t="str">
        <f>Targets_UW[[#This Row],[CLEW (deg)]]-0.5*Targets_UW[[#This Row],[CA1 (deg)]]</f>
        <v>#ERROR!</v>
      </c>
      <c r="T42" s="5">
        <v>-1.0</v>
      </c>
      <c r="U42" s="5">
        <v>10.0</v>
      </c>
      <c r="V42" s="5">
        <v>500.0</v>
      </c>
      <c r="W42" s="5">
        <v>5.0</v>
      </c>
      <c r="X42" s="5">
        <v>1000.0</v>
      </c>
      <c r="Y42" s="5" t="str">
        <f>SQRT(Targets_UW[[#This Row],[TWS (km/h)]]^2+Targets_UW[[#This Row],[BSP (km/h)]]^2+2*Targets_UW[[#This Row],[TWS (km/h)]]*Targets_UW[[#This Row],[BSP (km/h)]]*COS(RADIANS(Targets_UW[[#This Row],[TWA (deg)]]+Targets_UW[[#This Row],[LEEWAY (deg)]])))</f>
        <v>#ERROR!</v>
      </c>
      <c r="Z42" s="5" t="str">
        <f>DEGREES(ASIN(Targets_UW[[#This Row],[TWS (km/h)]]*SIN(RADIANS(Targets_UW[[#This Row],[TWA (deg)]]+Targets_UW[[#This Row],[LEEWAY (deg)]]))/Targets_UW[[#This Row],[AWS]]))</f>
        <v>#ERROR!</v>
      </c>
      <c r="AA42" s="5" t="str">
        <f>Targets_UW[[#This Row],[AWA+Leeway]]-Targets_UW[[#This Row],[ROT (deg)]]</f>
        <v>#ERROR!</v>
      </c>
      <c r="AB42" s="5" t="str">
        <f>Targets_UW[[#This Row],[TWS (km/h)]]*(Targets_UW[[#This Row],[Wing]]/10)^0.1</f>
        <v>#ERROR!</v>
      </c>
      <c r="AC42" s="5" t="str">
        <f>SQRT(Targets_UW[[#This Row],[TWSTop]]^2+Targets_UW[[#This Row],[BSP (km/h)]]^2+2*Targets_UW[[#This Row],[BSP (km/h)]]*Targets_UW[[#This Row],[TWSTop]]*COS(RADIANS(Targets_UW[[#This Row],[TWA (deg)]]+Targets_UW[[#This Row],[LEEWAY (deg)]])))</f>
        <v>#ERROR!</v>
      </c>
      <c r="AD42" s="5" t="str">
        <f>DEGREES(ASIN(Targets_UW[[#This Row],[TWSTop]]*SIN(RADIANS(Targets_UW[[#This Row],[TWA (deg)]]+Targets_UW[[#This Row],[LEEWAY (deg)]]))/Targets_UW[[#This Row],[AWSTop]]))</f>
        <v>#ERROR!</v>
      </c>
      <c r="AE42" s="5" t="str">
        <f>Targets_UW[[#This Row],[AWA+Leeway Top]]-Targets_UW[[#This Row],[ROT (deg)]]</f>
        <v>#ERROR!</v>
      </c>
      <c r="AF42" s="5" t="str">
        <f>Targets_UW[[#This Row],[CLEW (deg)]]+Targets_UW[[#This Row],[TWIST (deg)]]</f>
        <v>#ERROR!</v>
      </c>
      <c r="AG42" s="6" t="str">
        <f>Targets_UW[[#This Row],[AWA+Leeway Top]]-Targets_UW[[#This Row],[CA6]]</f>
        <v>#ERROR!</v>
      </c>
      <c r="AH42" s="7" t="str">
        <f>Targets_UW[[#This Row],[AWA+Leeway]]-Targets_UW[[#This Row],[JibLead (deg)]]</f>
        <v>#ERROR!</v>
      </c>
    </row>
    <row r="43" ht="14.25" customHeight="1">
      <c r="A43" s="3" t="s">
        <v>34</v>
      </c>
      <c r="B43" s="4" t="s">
        <v>38</v>
      </c>
      <c r="C43" s="4" t="s">
        <v>37</v>
      </c>
      <c r="D43" s="4">
        <v>24.0</v>
      </c>
      <c r="E43" s="4" t="str">
        <f t="shared" si="1"/>
        <v>Foiling_LAB2_LARW2-24m</v>
      </c>
      <c r="F43" s="4">
        <v>14.0</v>
      </c>
      <c r="G43" s="5" t="str">
        <f>ABS(Targets_UW[[#This Row],[BSP (km/h)]]*COS(RADIANS(Targets_UW[[#This Row],[TWA (deg)]]+Targets_UW[[#This Row],[LEEWAY (deg)]])))</f>
        <v>#ERROR!</v>
      </c>
      <c r="H43" s="5">
        <v>43.0</v>
      </c>
      <c r="I43" s="5">
        <v>57.0</v>
      </c>
      <c r="J43" s="5">
        <v>3.0</v>
      </c>
      <c r="K43" s="5">
        <v>4.5</v>
      </c>
      <c r="L43" s="5">
        <v>1.5</v>
      </c>
      <c r="M43" s="5" t="str">
        <f>Targets_UW[[#This Row],[CANT (deg)]]-Targets_UW[[#This Row],[HEEL (deg)]]</f>
        <v>#ERROR!</v>
      </c>
      <c r="N43" s="5">
        <v>1250.0</v>
      </c>
      <c r="O43" s="5">
        <v>2.2</v>
      </c>
      <c r="P43" s="5">
        <v>4.1</v>
      </c>
      <c r="Q43" s="5">
        <v>-3.5</v>
      </c>
      <c r="R43" s="5">
        <v>-19.4</v>
      </c>
      <c r="S43" s="5" t="str">
        <f>Targets_UW[[#This Row],[CLEW (deg)]]-0.5*Targets_UW[[#This Row],[CA1 (deg)]]</f>
        <v>#ERROR!</v>
      </c>
      <c r="T43" s="5">
        <v>-1.0</v>
      </c>
      <c r="U43" s="5">
        <v>16.0</v>
      </c>
      <c r="V43" s="5">
        <v>500.0</v>
      </c>
      <c r="W43" s="5">
        <v>5.4</v>
      </c>
      <c r="X43" s="5">
        <v>1200.0</v>
      </c>
      <c r="Y43" s="5" t="str">
        <f>SQRT(Targets_UW[[#This Row],[TWS (km/h)]]^2+Targets_UW[[#This Row],[BSP (km/h)]]^2+2*Targets_UW[[#This Row],[TWS (km/h)]]*Targets_UW[[#This Row],[BSP (km/h)]]*COS(RADIANS(Targets_UW[[#This Row],[TWA (deg)]]+Targets_UW[[#This Row],[LEEWAY (deg)]])))</f>
        <v>#ERROR!</v>
      </c>
      <c r="Z43" s="5" t="str">
        <f>DEGREES(ASIN(Targets_UW[[#This Row],[TWS (km/h)]]*SIN(RADIANS(Targets_UW[[#This Row],[TWA (deg)]]+Targets_UW[[#This Row],[LEEWAY (deg)]]))/Targets_UW[[#This Row],[AWS]]))</f>
        <v>#ERROR!</v>
      </c>
      <c r="AA43" s="5" t="str">
        <f>Targets_UW[[#This Row],[AWA+Leeway]]-Targets_UW[[#This Row],[ROT (deg)]]</f>
        <v>#ERROR!</v>
      </c>
      <c r="AB43" s="5" t="str">
        <f>Targets_UW[[#This Row],[TWS (km/h)]]*(Targets_UW[[#This Row],[Wing]]/10)^0.1</f>
        <v>#ERROR!</v>
      </c>
      <c r="AC43" s="5" t="str">
        <f>SQRT(Targets_UW[[#This Row],[TWSTop]]^2+Targets_UW[[#This Row],[BSP (km/h)]]^2+2*Targets_UW[[#This Row],[BSP (km/h)]]*Targets_UW[[#This Row],[TWSTop]]*COS(RADIANS(Targets_UW[[#This Row],[TWA (deg)]]+Targets_UW[[#This Row],[LEEWAY (deg)]])))</f>
        <v>#ERROR!</v>
      </c>
      <c r="AD43" s="5" t="str">
        <f>DEGREES(ASIN(Targets_UW[[#This Row],[TWSTop]]*SIN(RADIANS(Targets_UW[[#This Row],[TWA (deg)]]+Targets_UW[[#This Row],[LEEWAY (deg)]]))/Targets_UW[[#This Row],[AWSTop]]))</f>
        <v>#ERROR!</v>
      </c>
      <c r="AE43" s="5" t="str">
        <f>Targets_UW[[#This Row],[AWA+Leeway Top]]-Targets_UW[[#This Row],[ROT (deg)]]</f>
        <v>#ERROR!</v>
      </c>
      <c r="AF43" s="5" t="str">
        <f>Targets_UW[[#This Row],[CLEW (deg)]]+Targets_UW[[#This Row],[TWIST (deg)]]</f>
        <v>#ERROR!</v>
      </c>
      <c r="AG43" s="6" t="str">
        <f>Targets_UW[[#This Row],[AWA+Leeway Top]]-Targets_UW[[#This Row],[CA6]]</f>
        <v>#ERROR!</v>
      </c>
      <c r="AH43" s="7" t="str">
        <f>Targets_UW[[#This Row],[AWA+Leeway]]-Targets_UW[[#This Row],[JibLead (deg)]]</f>
        <v>#ERROR!</v>
      </c>
    </row>
    <row r="44" ht="14.25" customHeight="1">
      <c r="A44" s="8" t="s">
        <v>34</v>
      </c>
      <c r="B44" s="9" t="s">
        <v>38</v>
      </c>
      <c r="C44" s="9" t="s">
        <v>37</v>
      </c>
      <c r="D44" s="9">
        <v>24.0</v>
      </c>
      <c r="E44" s="9" t="str">
        <f t="shared" si="1"/>
        <v>Foiling_LAB2_LARW2-24m</v>
      </c>
      <c r="F44" s="9">
        <v>16.0</v>
      </c>
      <c r="G44" s="7" t="str">
        <f>ABS(Targets_UW[[#This Row],[BSP (km/h)]]*COS(RADIANS(Targets_UW[[#This Row],[TWA (deg)]]+Targets_UW[[#This Row],[LEEWAY (deg)]])))</f>
        <v>#ERROR!</v>
      </c>
      <c r="H44" s="7">
        <v>45.0</v>
      </c>
      <c r="I44" s="7">
        <v>52.0</v>
      </c>
      <c r="J44" s="7">
        <v>2.5</v>
      </c>
      <c r="K44" s="7">
        <v>4.0</v>
      </c>
      <c r="L44" s="7">
        <v>1.5</v>
      </c>
      <c r="M44" s="7" t="str">
        <f>Targets_UW[[#This Row],[CANT (deg)]]-Targets_UW[[#This Row],[HEEL (deg)]]</f>
        <v>#ERROR!</v>
      </c>
      <c r="N44" s="7">
        <v>1200.0</v>
      </c>
      <c r="O44" s="7">
        <v>2.2</v>
      </c>
      <c r="P44" s="7">
        <v>3.9</v>
      </c>
      <c r="Q44" s="7">
        <v>-3.5</v>
      </c>
      <c r="R44" s="7">
        <v>-19.0</v>
      </c>
      <c r="S44" s="7" t="str">
        <f>Targets_UW[[#This Row],[CLEW (deg)]]-0.5*Targets_UW[[#This Row],[CA1 (deg)]]</f>
        <v>#ERROR!</v>
      </c>
      <c r="T44" s="7">
        <v>-1.0</v>
      </c>
      <c r="U44" s="7">
        <v>20.0</v>
      </c>
      <c r="V44" s="7">
        <v>700.0</v>
      </c>
      <c r="W44" s="7">
        <v>5.8</v>
      </c>
      <c r="X44" s="7">
        <v>1400.0</v>
      </c>
      <c r="Y44" s="7" t="str">
        <f>SQRT(Targets_UW[[#This Row],[TWS (km/h)]]^2+Targets_UW[[#This Row],[BSP (km/h)]]^2+2*Targets_UW[[#This Row],[TWS (km/h)]]*Targets_UW[[#This Row],[BSP (km/h)]]*COS(RADIANS(Targets_UW[[#This Row],[TWA (deg)]]+Targets_UW[[#This Row],[LEEWAY (deg)]])))</f>
        <v>#ERROR!</v>
      </c>
      <c r="Z44" s="7" t="str">
        <f>DEGREES(ASIN(Targets_UW[[#This Row],[TWS (km/h)]]*SIN(RADIANS(Targets_UW[[#This Row],[TWA (deg)]]+Targets_UW[[#This Row],[LEEWAY (deg)]]))/Targets_UW[[#This Row],[AWS]]))</f>
        <v>#ERROR!</v>
      </c>
      <c r="AA44" s="7" t="str">
        <f>Targets_UW[[#This Row],[AWA+Leeway]]-Targets_UW[[#This Row],[ROT (deg)]]</f>
        <v>#ERROR!</v>
      </c>
      <c r="AB44" s="7" t="str">
        <f>Targets_UW[[#This Row],[TWS (km/h)]]*(Targets_UW[[#This Row],[Wing]]/10)^0.1</f>
        <v>#ERROR!</v>
      </c>
      <c r="AC44" s="7" t="str">
        <f>SQRT(Targets_UW[[#This Row],[TWSTop]]^2+Targets_UW[[#This Row],[BSP (km/h)]]^2+2*Targets_UW[[#This Row],[BSP (km/h)]]*Targets_UW[[#This Row],[TWSTop]]*COS(RADIANS(Targets_UW[[#This Row],[TWA (deg)]]+Targets_UW[[#This Row],[LEEWAY (deg)]])))</f>
        <v>#ERROR!</v>
      </c>
      <c r="AD44" s="7" t="str">
        <f>DEGREES(ASIN(Targets_UW[[#This Row],[TWSTop]]*SIN(RADIANS(Targets_UW[[#This Row],[TWA (deg)]]+Targets_UW[[#This Row],[LEEWAY (deg)]]))/Targets_UW[[#This Row],[AWSTop]]))</f>
        <v>#ERROR!</v>
      </c>
      <c r="AE44" s="7" t="str">
        <f>Targets_UW[[#This Row],[AWA+Leeway Top]]-Targets_UW[[#This Row],[ROT (deg)]]</f>
        <v>#ERROR!</v>
      </c>
      <c r="AF44" s="7" t="str">
        <f>Targets_UW[[#This Row],[CLEW (deg)]]+Targets_UW[[#This Row],[TWIST (deg)]]</f>
        <v>#ERROR!</v>
      </c>
      <c r="AG44" s="10" t="str">
        <f>Targets_UW[[#This Row],[AWA+Leeway Top]]-Targets_UW[[#This Row],[CA6]]</f>
        <v>#ERROR!</v>
      </c>
      <c r="AH44" s="7" t="str">
        <f>Targets_UW[[#This Row],[AWA+Leeway]]-Targets_UW[[#This Row],[JibLead (deg)]]</f>
        <v>#ERROR!</v>
      </c>
    </row>
    <row r="45" ht="14.25" customHeight="1">
      <c r="A45" s="8" t="s">
        <v>34</v>
      </c>
      <c r="B45" s="9" t="s">
        <v>38</v>
      </c>
      <c r="C45" s="9" t="s">
        <v>37</v>
      </c>
      <c r="D45" s="9">
        <v>24.0</v>
      </c>
      <c r="E45" s="9" t="str">
        <f t="shared" si="1"/>
        <v>Foiling_LAB2_LARW2-24m</v>
      </c>
      <c r="F45" s="9">
        <v>18.0</v>
      </c>
      <c r="G45" s="7" t="str">
        <f>ABS(Targets_UW[[#This Row],[BSP (km/h)]]*COS(RADIANS(Targets_UW[[#This Row],[TWA (deg)]]+Targets_UW[[#This Row],[LEEWAY (deg)]])))</f>
        <v>#ERROR!</v>
      </c>
      <c r="H45" s="7">
        <v>46.0</v>
      </c>
      <c r="I45" s="7">
        <v>49.0</v>
      </c>
      <c r="J45" s="7">
        <v>2.0</v>
      </c>
      <c r="K45" s="7">
        <v>3.0</v>
      </c>
      <c r="L45" s="7">
        <v>1.5</v>
      </c>
      <c r="M45" s="7" t="str">
        <f>Targets_UW[[#This Row],[CANT (deg)]]-Targets_UW[[#This Row],[HEEL (deg)]]</f>
        <v>#ERROR!</v>
      </c>
      <c r="N45" s="7">
        <v>1175.0</v>
      </c>
      <c r="O45" s="7">
        <v>2.0</v>
      </c>
      <c r="P45" s="7">
        <v>3.85</v>
      </c>
      <c r="Q45" s="7">
        <v>-3.5</v>
      </c>
      <c r="R45" s="7">
        <v>-18.6</v>
      </c>
      <c r="S45" s="7" t="str">
        <f>Targets_UW[[#This Row],[CLEW (deg)]]-0.5*Targets_UW[[#This Row],[CA1 (deg)]]</f>
        <v>#ERROR!</v>
      </c>
      <c r="T45" s="7">
        <v>-0.8</v>
      </c>
      <c r="U45" s="7">
        <v>23.0</v>
      </c>
      <c r="V45" s="7">
        <v>870.0</v>
      </c>
      <c r="W45" s="7">
        <v>6.1</v>
      </c>
      <c r="X45" s="7">
        <v>1500.0</v>
      </c>
      <c r="Y45" s="7" t="str">
        <f>SQRT(Targets_UW[[#This Row],[TWS (km/h)]]^2+Targets_UW[[#This Row],[BSP (km/h)]]^2+2*Targets_UW[[#This Row],[TWS (km/h)]]*Targets_UW[[#This Row],[BSP (km/h)]]*COS(RADIANS(Targets_UW[[#This Row],[TWA (deg)]]+Targets_UW[[#This Row],[LEEWAY (deg)]])))</f>
        <v>#ERROR!</v>
      </c>
      <c r="Z45" s="7" t="str">
        <f>DEGREES(ASIN(Targets_UW[[#This Row],[TWS (km/h)]]*SIN(RADIANS(Targets_UW[[#This Row],[TWA (deg)]]+Targets_UW[[#This Row],[LEEWAY (deg)]]))/Targets_UW[[#This Row],[AWS]]))</f>
        <v>#ERROR!</v>
      </c>
      <c r="AA45" s="7" t="str">
        <f>Targets_UW[[#This Row],[AWA+Leeway]]-Targets_UW[[#This Row],[ROT (deg)]]</f>
        <v>#ERROR!</v>
      </c>
      <c r="AB45" s="7" t="str">
        <f>Targets_UW[[#This Row],[TWS (km/h)]]*(Targets_UW[[#This Row],[Wing]]/10)^0.1</f>
        <v>#ERROR!</v>
      </c>
      <c r="AC45" s="7" t="str">
        <f>SQRT(Targets_UW[[#This Row],[TWSTop]]^2+Targets_UW[[#This Row],[BSP (km/h)]]^2+2*Targets_UW[[#This Row],[BSP (km/h)]]*Targets_UW[[#This Row],[TWSTop]]*COS(RADIANS(Targets_UW[[#This Row],[TWA (deg)]]+Targets_UW[[#This Row],[LEEWAY (deg)]])))</f>
        <v>#ERROR!</v>
      </c>
      <c r="AD45" s="7" t="str">
        <f>DEGREES(ASIN(Targets_UW[[#This Row],[TWSTop]]*SIN(RADIANS(Targets_UW[[#This Row],[TWA (deg)]]+Targets_UW[[#This Row],[LEEWAY (deg)]]))/Targets_UW[[#This Row],[AWSTop]]))</f>
        <v>#ERROR!</v>
      </c>
      <c r="AE45" s="7" t="str">
        <f>Targets_UW[[#This Row],[AWA+Leeway Top]]-Targets_UW[[#This Row],[ROT (deg)]]</f>
        <v>#ERROR!</v>
      </c>
      <c r="AF45" s="7" t="str">
        <f>Targets_UW[[#This Row],[CLEW (deg)]]+Targets_UW[[#This Row],[TWIST (deg)]]</f>
        <v>#ERROR!</v>
      </c>
      <c r="AG45" s="10" t="str">
        <f>Targets_UW[[#This Row],[AWA+Leeway Top]]-Targets_UW[[#This Row],[CA6]]</f>
        <v>#ERROR!</v>
      </c>
      <c r="AH45" s="7" t="str">
        <f>Targets_UW[[#This Row],[AWA+Leeway]]-Targets_UW[[#This Row],[JibLead (deg)]]</f>
        <v>#ERROR!</v>
      </c>
    </row>
    <row r="46" ht="14.25" customHeight="1">
      <c r="A46" s="8" t="s">
        <v>34</v>
      </c>
      <c r="B46" s="9" t="s">
        <v>38</v>
      </c>
      <c r="C46" s="9" t="s">
        <v>37</v>
      </c>
      <c r="D46" s="9">
        <v>24.0</v>
      </c>
      <c r="E46" s="9" t="str">
        <f t="shared" si="1"/>
        <v>Foiling_LAB2_LARW2-24m</v>
      </c>
      <c r="F46" s="9">
        <v>20.0</v>
      </c>
      <c r="G46" s="7" t="str">
        <f>ABS(Targets_UW[[#This Row],[BSP (km/h)]]*COS(RADIANS(Targets_UW[[#This Row],[TWA (deg)]]+Targets_UW[[#This Row],[LEEWAY (deg)]])))</f>
        <v>#ERROR!</v>
      </c>
      <c r="H46" s="7">
        <v>47.0</v>
      </c>
      <c r="I46" s="7">
        <v>46.0</v>
      </c>
      <c r="J46" s="7">
        <v>1.85</v>
      </c>
      <c r="K46" s="7">
        <v>1.5</v>
      </c>
      <c r="L46" s="7">
        <v>1.5</v>
      </c>
      <c r="M46" s="7" t="str">
        <f>Targets_UW[[#This Row],[CANT (deg)]]-Targets_UW[[#This Row],[HEEL (deg)]]</f>
        <v>#ERROR!</v>
      </c>
      <c r="N46" s="7">
        <v>1150.0</v>
      </c>
      <c r="O46" s="7">
        <v>1.6</v>
      </c>
      <c r="P46" s="7">
        <v>3.8</v>
      </c>
      <c r="Q46" s="7">
        <v>-3.5</v>
      </c>
      <c r="R46" s="7">
        <v>-18.2</v>
      </c>
      <c r="S46" s="7" t="str">
        <f>Targets_UW[[#This Row],[CLEW (deg)]]-0.5*Targets_UW[[#This Row],[CA1 (deg)]]</f>
        <v>#ERROR!</v>
      </c>
      <c r="T46" s="7">
        <v>-0.5</v>
      </c>
      <c r="U46" s="7">
        <v>26.0</v>
      </c>
      <c r="V46" s="7">
        <v>1100.0</v>
      </c>
      <c r="W46" s="7">
        <v>6.4</v>
      </c>
      <c r="X46" s="7">
        <v>1600.0</v>
      </c>
      <c r="Y46" s="7" t="str">
        <f>SQRT(Targets_UW[[#This Row],[TWS (km/h)]]^2+Targets_UW[[#This Row],[BSP (km/h)]]^2+2*Targets_UW[[#This Row],[TWS (km/h)]]*Targets_UW[[#This Row],[BSP (km/h)]]*COS(RADIANS(Targets_UW[[#This Row],[TWA (deg)]]+Targets_UW[[#This Row],[LEEWAY (deg)]])))</f>
        <v>#ERROR!</v>
      </c>
      <c r="Z46" s="7" t="str">
        <f>DEGREES(ASIN(Targets_UW[[#This Row],[TWS (km/h)]]*SIN(RADIANS(Targets_UW[[#This Row],[TWA (deg)]]+Targets_UW[[#This Row],[LEEWAY (deg)]]))/Targets_UW[[#This Row],[AWS]]))</f>
        <v>#ERROR!</v>
      </c>
      <c r="AA46" s="7" t="str">
        <f>Targets_UW[[#This Row],[AWA+Leeway]]-Targets_UW[[#This Row],[ROT (deg)]]</f>
        <v>#ERROR!</v>
      </c>
      <c r="AB46" s="7" t="str">
        <f>Targets_UW[[#This Row],[TWS (km/h)]]*(Targets_UW[[#This Row],[Wing]]/10)^0.1</f>
        <v>#ERROR!</v>
      </c>
      <c r="AC46" s="7" t="str">
        <f>SQRT(Targets_UW[[#This Row],[TWSTop]]^2+Targets_UW[[#This Row],[BSP (km/h)]]^2+2*Targets_UW[[#This Row],[BSP (km/h)]]*Targets_UW[[#This Row],[TWSTop]]*COS(RADIANS(Targets_UW[[#This Row],[TWA (deg)]]+Targets_UW[[#This Row],[LEEWAY (deg)]])))</f>
        <v>#ERROR!</v>
      </c>
      <c r="AD46" s="7" t="str">
        <f>DEGREES(ASIN(Targets_UW[[#This Row],[TWSTop]]*SIN(RADIANS(Targets_UW[[#This Row],[TWA (deg)]]+Targets_UW[[#This Row],[LEEWAY (deg)]]))/Targets_UW[[#This Row],[AWSTop]]))</f>
        <v>#ERROR!</v>
      </c>
      <c r="AE46" s="7" t="str">
        <f>Targets_UW[[#This Row],[AWA+Leeway Top]]-Targets_UW[[#This Row],[ROT (deg)]]</f>
        <v>#ERROR!</v>
      </c>
      <c r="AF46" s="7" t="str">
        <f>Targets_UW[[#This Row],[CLEW (deg)]]+Targets_UW[[#This Row],[TWIST (deg)]]</f>
        <v>#ERROR!</v>
      </c>
      <c r="AG46" s="10" t="str">
        <f>Targets_UW[[#This Row],[AWA+Leeway Top]]-Targets_UW[[#This Row],[CA6]]</f>
        <v>#ERROR!</v>
      </c>
      <c r="AH46" s="7" t="str">
        <f>Targets_UW[[#This Row],[AWA+Leeway]]-Targets_UW[[#This Row],[JibLead (deg)]]</f>
        <v>#ERROR!</v>
      </c>
    </row>
    <row r="47" ht="14.25" customHeight="1">
      <c r="A47" s="8" t="s">
        <v>34</v>
      </c>
      <c r="B47" s="9" t="s">
        <v>38</v>
      </c>
      <c r="C47" s="9" t="s">
        <v>37</v>
      </c>
      <c r="D47" s="9">
        <v>24.0</v>
      </c>
      <c r="E47" s="9" t="str">
        <f t="shared" si="1"/>
        <v>Foiling_LAB2_LARW2-24m</v>
      </c>
      <c r="F47" s="9">
        <v>22.0</v>
      </c>
      <c r="G47" s="7" t="str">
        <f>ABS(Targets_UW[[#This Row],[BSP (km/h)]]*COS(RADIANS(Targets_UW[[#This Row],[TWA (deg)]]+Targets_UW[[#This Row],[LEEWAY (deg)]])))</f>
        <v>#ERROR!</v>
      </c>
      <c r="H47" s="7">
        <v>48.5</v>
      </c>
      <c r="I47" s="7">
        <v>45.0</v>
      </c>
      <c r="J47" s="7">
        <v>1.8</v>
      </c>
      <c r="K47" s="7">
        <v>-1.0</v>
      </c>
      <c r="L47" s="7">
        <v>1.5</v>
      </c>
      <c r="M47" s="7" t="str">
        <f>Targets_UW[[#This Row],[CANT (deg)]]-Targets_UW[[#This Row],[HEEL (deg)]]</f>
        <v>#ERROR!</v>
      </c>
      <c r="N47" s="7">
        <v>1125.0</v>
      </c>
      <c r="O47" s="7">
        <v>1.25</v>
      </c>
      <c r="P47" s="7">
        <v>3.75</v>
      </c>
      <c r="Q47" s="7">
        <v>-3.5</v>
      </c>
      <c r="R47" s="7">
        <v>-17.8</v>
      </c>
      <c r="S47" s="7" t="str">
        <f>Targets_UW[[#This Row],[CLEW (deg)]]-0.5*Targets_UW[[#This Row],[CA1 (deg)]]</f>
        <v>#ERROR!</v>
      </c>
      <c r="T47" s="7">
        <v>-0.2</v>
      </c>
      <c r="U47" s="7">
        <v>27.5</v>
      </c>
      <c r="V47" s="7">
        <v>1300.0</v>
      </c>
      <c r="W47" s="7">
        <v>6.5</v>
      </c>
      <c r="X47" s="7"/>
      <c r="Y47" s="7" t="str">
        <f>SQRT(Targets_UW[[#This Row],[TWS (km/h)]]^2+Targets_UW[[#This Row],[BSP (km/h)]]^2+2*Targets_UW[[#This Row],[TWS (km/h)]]*Targets_UW[[#This Row],[BSP (km/h)]]*COS(RADIANS(Targets_UW[[#This Row],[TWA (deg)]]+Targets_UW[[#This Row],[LEEWAY (deg)]])))</f>
        <v>#ERROR!</v>
      </c>
      <c r="Z47" s="7" t="str">
        <f>DEGREES(ASIN(Targets_UW[[#This Row],[TWS (km/h)]]*SIN(RADIANS(Targets_UW[[#This Row],[TWA (deg)]]+Targets_UW[[#This Row],[LEEWAY (deg)]]))/Targets_UW[[#This Row],[AWS]]))</f>
        <v>#ERROR!</v>
      </c>
      <c r="AA47" s="7" t="str">
        <f>Targets_UW[[#This Row],[AWA+Leeway]]-Targets_UW[[#This Row],[ROT (deg)]]</f>
        <v>#ERROR!</v>
      </c>
      <c r="AB47" s="7" t="str">
        <f>Targets_UW[[#This Row],[TWS (km/h)]]*(Targets_UW[[#This Row],[Wing]]/10)^0.1</f>
        <v>#ERROR!</v>
      </c>
      <c r="AC47" s="7" t="str">
        <f>SQRT(Targets_UW[[#This Row],[TWSTop]]^2+Targets_UW[[#This Row],[BSP (km/h)]]^2+2*Targets_UW[[#This Row],[BSP (km/h)]]*Targets_UW[[#This Row],[TWSTop]]*COS(RADIANS(Targets_UW[[#This Row],[TWA (deg)]]+Targets_UW[[#This Row],[LEEWAY (deg)]])))</f>
        <v>#ERROR!</v>
      </c>
      <c r="AD47" s="7" t="str">
        <f>DEGREES(ASIN(Targets_UW[[#This Row],[TWSTop]]*SIN(RADIANS(Targets_UW[[#This Row],[TWA (deg)]]+Targets_UW[[#This Row],[LEEWAY (deg)]]))/Targets_UW[[#This Row],[AWSTop]]))</f>
        <v>#ERROR!</v>
      </c>
      <c r="AE47" s="7" t="str">
        <f>Targets_UW[[#This Row],[AWA+Leeway Top]]-Targets_UW[[#This Row],[ROT (deg)]]</f>
        <v>#ERROR!</v>
      </c>
      <c r="AF47" s="7" t="str">
        <f>Targets_UW[[#This Row],[CLEW (deg)]]+Targets_UW[[#This Row],[TWIST (deg)]]</f>
        <v>#ERROR!</v>
      </c>
      <c r="AG47" s="10" t="str">
        <f>Targets_UW[[#This Row],[AWA+Leeway Top]]-Targets_UW[[#This Row],[CA6]]</f>
        <v>#ERROR!</v>
      </c>
      <c r="AH47" s="7" t="str">
        <f>Targets_UW[[#This Row],[AWA+Leeway]]-Targets_UW[[#This Row],[JibLead (deg)]]</f>
        <v>#ERROR!</v>
      </c>
    </row>
    <row r="48" ht="14.25" customHeight="1">
      <c r="A48" s="8" t="s">
        <v>34</v>
      </c>
      <c r="B48" s="9" t="s">
        <v>38</v>
      </c>
      <c r="C48" s="9" t="s">
        <v>37</v>
      </c>
      <c r="D48" s="9">
        <v>24.0</v>
      </c>
      <c r="E48" s="9" t="str">
        <f t="shared" si="1"/>
        <v>Foiling_LAB2_LARW2-24m</v>
      </c>
      <c r="F48" s="9">
        <v>24.0</v>
      </c>
      <c r="G48" s="7" t="str">
        <f>ABS(Targets_UW[[#This Row],[BSP (km/h)]]*COS(RADIANS(Targets_UW[[#This Row],[TWA (deg)]]+Targets_UW[[#This Row],[LEEWAY (deg)]])))</f>
        <v>#ERROR!</v>
      </c>
      <c r="H48" s="7">
        <v>50.0</v>
      </c>
      <c r="I48" s="7">
        <v>44.0</v>
      </c>
      <c r="J48" s="7">
        <v>1.7</v>
      </c>
      <c r="K48" s="7">
        <v>-4.0</v>
      </c>
      <c r="L48" s="7">
        <v>1.5</v>
      </c>
      <c r="M48" s="7" t="str">
        <f>Targets_UW[[#This Row],[CANT (deg)]]-Targets_UW[[#This Row],[HEEL (deg)]]</f>
        <v>#ERROR!</v>
      </c>
      <c r="N48" s="7">
        <v>1100.0</v>
      </c>
      <c r="O48" s="7">
        <v>0.85</v>
      </c>
      <c r="P48" s="7">
        <v>3.6</v>
      </c>
      <c r="Q48" s="7">
        <v>-3.5</v>
      </c>
      <c r="R48" s="7">
        <v>-17.4</v>
      </c>
      <c r="S48" s="7" t="str">
        <f>Targets_UW[[#This Row],[CLEW (deg)]]-0.5*Targets_UW[[#This Row],[CA1 (deg)]]</f>
        <v>#ERROR!</v>
      </c>
      <c r="T48" s="7">
        <v>0.0</v>
      </c>
      <c r="U48" s="7">
        <v>28.5</v>
      </c>
      <c r="V48" s="7">
        <v>1550.0</v>
      </c>
      <c r="W48" s="7">
        <v>6.5</v>
      </c>
      <c r="X48" s="7"/>
      <c r="Y48" s="7" t="str">
        <f>SQRT(Targets_UW[[#This Row],[TWS (km/h)]]^2+Targets_UW[[#This Row],[BSP (km/h)]]^2+2*Targets_UW[[#This Row],[TWS (km/h)]]*Targets_UW[[#This Row],[BSP (km/h)]]*COS(RADIANS(Targets_UW[[#This Row],[TWA (deg)]]+Targets_UW[[#This Row],[LEEWAY (deg)]])))</f>
        <v>#ERROR!</v>
      </c>
      <c r="Z48" s="7" t="str">
        <f>DEGREES(ASIN(Targets_UW[[#This Row],[TWS (km/h)]]*SIN(RADIANS(Targets_UW[[#This Row],[TWA (deg)]]+Targets_UW[[#This Row],[LEEWAY (deg)]]))/Targets_UW[[#This Row],[AWS]]))</f>
        <v>#ERROR!</v>
      </c>
      <c r="AA48" s="7" t="str">
        <f>Targets_UW[[#This Row],[AWA+Leeway]]-Targets_UW[[#This Row],[ROT (deg)]]</f>
        <v>#ERROR!</v>
      </c>
      <c r="AB48" s="7" t="str">
        <f>Targets_UW[[#This Row],[TWS (km/h)]]*(Targets_UW[[#This Row],[Wing]]/10)^0.1</f>
        <v>#ERROR!</v>
      </c>
      <c r="AC48" s="7" t="str">
        <f>SQRT(Targets_UW[[#This Row],[TWSTop]]^2+Targets_UW[[#This Row],[BSP (km/h)]]^2+2*Targets_UW[[#This Row],[BSP (km/h)]]*Targets_UW[[#This Row],[TWSTop]]*COS(RADIANS(Targets_UW[[#This Row],[TWA (deg)]]+Targets_UW[[#This Row],[LEEWAY (deg)]])))</f>
        <v>#ERROR!</v>
      </c>
      <c r="AD48" s="7" t="str">
        <f>DEGREES(ASIN(Targets_UW[[#This Row],[TWSTop]]*SIN(RADIANS(Targets_UW[[#This Row],[TWA (deg)]]+Targets_UW[[#This Row],[LEEWAY (deg)]]))/Targets_UW[[#This Row],[AWSTop]]))</f>
        <v>#ERROR!</v>
      </c>
      <c r="AE48" s="7" t="str">
        <f>Targets_UW[[#This Row],[AWA+Leeway Top]]-Targets_UW[[#This Row],[ROT (deg)]]</f>
        <v>#ERROR!</v>
      </c>
      <c r="AF48" s="7" t="str">
        <f>Targets_UW[[#This Row],[CLEW (deg)]]+Targets_UW[[#This Row],[TWIST (deg)]]</f>
        <v>#ERROR!</v>
      </c>
      <c r="AG48" s="10" t="str">
        <f>Targets_UW[[#This Row],[AWA+Leeway Top]]-Targets_UW[[#This Row],[CA6]]</f>
        <v>#ERROR!</v>
      </c>
      <c r="AH48" s="7" t="str">
        <f>Targets_UW[[#This Row],[AWA+Leeway]]-Targets_UW[[#This Row],[JibLead (deg)]]</f>
        <v>#ERROR!</v>
      </c>
    </row>
    <row r="49" ht="14.25" customHeight="1">
      <c r="A49" s="8" t="s">
        <v>34</v>
      </c>
      <c r="B49" s="9" t="s">
        <v>38</v>
      </c>
      <c r="C49" s="9" t="s">
        <v>37</v>
      </c>
      <c r="D49" s="9">
        <v>24.0</v>
      </c>
      <c r="E49" s="9" t="str">
        <f t="shared" si="1"/>
        <v>Foiling_LAB2_LARW2-24m</v>
      </c>
      <c r="F49" s="9">
        <v>26.0</v>
      </c>
      <c r="G49" s="7" t="str">
        <f>ABS(Targets_UW[[#This Row],[BSP (km/h)]]*COS(RADIANS(Targets_UW[[#This Row],[TWA (deg)]]+Targets_UW[[#This Row],[LEEWAY (deg)]])))</f>
        <v>#ERROR!</v>
      </c>
      <c r="H49" s="7">
        <v>51.8</v>
      </c>
      <c r="I49" s="7">
        <v>43.0</v>
      </c>
      <c r="J49" s="7">
        <v>1.6</v>
      </c>
      <c r="K49" s="7">
        <v>-6.2</v>
      </c>
      <c r="L49" s="7">
        <v>1.5</v>
      </c>
      <c r="M49" s="7" t="str">
        <f>Targets_UW[[#This Row],[CANT (deg)]]-Targets_UW[[#This Row],[HEEL (deg)]]</f>
        <v>#ERROR!</v>
      </c>
      <c r="N49" s="7">
        <v>1075.0</v>
      </c>
      <c r="O49" s="7">
        <v>0.5</v>
      </c>
      <c r="P49" s="7">
        <v>3.4</v>
      </c>
      <c r="Q49" s="7">
        <v>-3.5</v>
      </c>
      <c r="R49" s="7">
        <v>-17.2</v>
      </c>
      <c r="S49" s="7" t="str">
        <f>Targets_UW[[#This Row],[CLEW (deg)]]-0.5*Targets_UW[[#This Row],[CA1 (deg)]]</f>
        <v>#ERROR!</v>
      </c>
      <c r="T49" s="7">
        <v>0.2</v>
      </c>
      <c r="U49" s="7">
        <v>30.0</v>
      </c>
      <c r="V49" s="7">
        <v>1700.0</v>
      </c>
      <c r="W49" s="7">
        <v>6.5</v>
      </c>
      <c r="X49" s="7"/>
      <c r="Y49" s="7" t="str">
        <f>SQRT(Targets_UW[[#This Row],[TWS (km/h)]]^2+Targets_UW[[#This Row],[BSP (km/h)]]^2+2*Targets_UW[[#This Row],[TWS (km/h)]]*Targets_UW[[#This Row],[BSP (km/h)]]*COS(RADIANS(Targets_UW[[#This Row],[TWA (deg)]]+Targets_UW[[#This Row],[LEEWAY (deg)]])))</f>
        <v>#ERROR!</v>
      </c>
      <c r="Z49" s="7" t="str">
        <f>DEGREES(ASIN(Targets_UW[[#This Row],[TWS (km/h)]]*SIN(RADIANS(Targets_UW[[#This Row],[TWA (deg)]]+Targets_UW[[#This Row],[LEEWAY (deg)]]))/Targets_UW[[#This Row],[AWS]]))</f>
        <v>#ERROR!</v>
      </c>
      <c r="AA49" s="7" t="str">
        <f>Targets_UW[[#This Row],[AWA+Leeway]]-Targets_UW[[#This Row],[ROT (deg)]]</f>
        <v>#ERROR!</v>
      </c>
      <c r="AB49" s="7" t="str">
        <f>Targets_UW[[#This Row],[TWS (km/h)]]*(Targets_UW[[#This Row],[Wing]]/10)^0.1</f>
        <v>#ERROR!</v>
      </c>
      <c r="AC49" s="7" t="str">
        <f>SQRT(Targets_UW[[#This Row],[TWSTop]]^2+Targets_UW[[#This Row],[BSP (km/h)]]^2+2*Targets_UW[[#This Row],[BSP (km/h)]]*Targets_UW[[#This Row],[TWSTop]]*COS(RADIANS(Targets_UW[[#This Row],[TWA (deg)]]+Targets_UW[[#This Row],[LEEWAY (deg)]])))</f>
        <v>#ERROR!</v>
      </c>
      <c r="AD49" s="7" t="str">
        <f>DEGREES(ASIN(Targets_UW[[#This Row],[TWSTop]]*SIN(RADIANS(Targets_UW[[#This Row],[TWA (deg)]]+Targets_UW[[#This Row],[LEEWAY (deg)]]))/Targets_UW[[#This Row],[AWSTop]]))</f>
        <v>#ERROR!</v>
      </c>
      <c r="AE49" s="7" t="str">
        <f>Targets_UW[[#This Row],[AWA+Leeway Top]]-Targets_UW[[#This Row],[ROT (deg)]]</f>
        <v>#ERROR!</v>
      </c>
      <c r="AF49" s="7" t="str">
        <f>Targets_UW[[#This Row],[CLEW (deg)]]+Targets_UW[[#This Row],[TWIST (deg)]]</f>
        <v>#ERROR!</v>
      </c>
      <c r="AG49" s="10" t="str">
        <f>Targets_UW[[#This Row],[AWA+Leeway Top]]-Targets_UW[[#This Row],[CA6]]</f>
        <v>#ERROR!</v>
      </c>
      <c r="AH49" s="7" t="str">
        <f>Targets_UW[[#This Row],[AWA+Leeway]]-Targets_UW[[#This Row],[JibLead (deg)]]</f>
        <v>#ERROR!</v>
      </c>
    </row>
    <row r="50" ht="14.25" customHeight="1">
      <c r="A50" s="11" t="s">
        <v>34</v>
      </c>
      <c r="B50" s="12" t="s">
        <v>38</v>
      </c>
      <c r="C50" s="12" t="s">
        <v>37</v>
      </c>
      <c r="D50" s="12">
        <v>24.0</v>
      </c>
      <c r="E50" s="12" t="str">
        <f t="shared" si="1"/>
        <v>Foiling_LAB2_LARW2-24m</v>
      </c>
      <c r="F50" s="12">
        <v>28.0</v>
      </c>
      <c r="G50" s="13" t="str">
        <f>ABS(Targets_UW[[#This Row],[BSP (km/h)]]*COS(RADIANS(Targets_UW[[#This Row],[TWA (deg)]]+Targets_UW[[#This Row],[LEEWAY (deg)]])))</f>
        <v>#ERROR!</v>
      </c>
      <c r="H50" s="13">
        <v>53.5</v>
      </c>
      <c r="I50" s="13">
        <v>43.0</v>
      </c>
      <c r="J50" s="13">
        <v>1.5</v>
      </c>
      <c r="K50" s="13">
        <v>-7.6</v>
      </c>
      <c r="L50" s="13">
        <v>1.5</v>
      </c>
      <c r="M50" s="13" t="str">
        <f>Targets_UW[[#This Row],[CANT (deg)]]-Targets_UW[[#This Row],[HEEL (deg)]]</f>
        <v>#ERROR!</v>
      </c>
      <c r="N50" s="13">
        <v>1050.0</v>
      </c>
      <c r="O50" s="13">
        <v>0.1</v>
      </c>
      <c r="P50" s="13">
        <v>3.2</v>
      </c>
      <c r="Q50" s="13">
        <v>-3.5</v>
      </c>
      <c r="R50" s="13">
        <v>-17.1</v>
      </c>
      <c r="S50" s="13" t="str">
        <f>Targets_UW[[#This Row],[CLEW (deg)]]-0.5*Targets_UW[[#This Row],[CA1 (deg)]]</f>
        <v>#ERROR!</v>
      </c>
      <c r="T50" s="13">
        <v>0.5</v>
      </c>
      <c r="U50" s="13">
        <v>31.0</v>
      </c>
      <c r="V50" s="13">
        <v>1800.0</v>
      </c>
      <c r="W50" s="13">
        <v>6.5</v>
      </c>
      <c r="X50" s="13"/>
      <c r="Y50" s="13" t="str">
        <f>SQRT(Targets_UW[[#This Row],[TWS (km/h)]]^2+Targets_UW[[#This Row],[BSP (km/h)]]^2+2*Targets_UW[[#This Row],[TWS (km/h)]]*Targets_UW[[#This Row],[BSP (km/h)]]*COS(RADIANS(Targets_UW[[#This Row],[TWA (deg)]]+Targets_UW[[#This Row],[LEEWAY (deg)]])))</f>
        <v>#ERROR!</v>
      </c>
      <c r="Z50" s="13" t="str">
        <f>DEGREES(ASIN(Targets_UW[[#This Row],[TWS (km/h)]]*SIN(RADIANS(Targets_UW[[#This Row],[TWA (deg)]]+Targets_UW[[#This Row],[LEEWAY (deg)]]))/Targets_UW[[#This Row],[AWS]]))</f>
        <v>#ERROR!</v>
      </c>
      <c r="AA50" s="13" t="str">
        <f>Targets_UW[[#This Row],[AWA+Leeway]]-Targets_UW[[#This Row],[ROT (deg)]]</f>
        <v>#ERROR!</v>
      </c>
      <c r="AB50" s="13" t="str">
        <f>Targets_UW[[#This Row],[TWS (km/h)]]*(Targets_UW[[#This Row],[Wing]]/10)^0.1</f>
        <v>#ERROR!</v>
      </c>
      <c r="AC50" s="13" t="str">
        <f>SQRT(Targets_UW[[#This Row],[TWSTop]]^2+Targets_UW[[#This Row],[BSP (km/h)]]^2+2*Targets_UW[[#This Row],[BSP (km/h)]]*Targets_UW[[#This Row],[TWSTop]]*COS(RADIANS(Targets_UW[[#This Row],[TWA (deg)]]+Targets_UW[[#This Row],[LEEWAY (deg)]])))</f>
        <v>#ERROR!</v>
      </c>
      <c r="AD50" s="13" t="str">
        <f>DEGREES(ASIN(Targets_UW[[#This Row],[TWSTop]]*SIN(RADIANS(Targets_UW[[#This Row],[TWA (deg)]]+Targets_UW[[#This Row],[LEEWAY (deg)]]))/Targets_UW[[#This Row],[AWSTop]]))</f>
        <v>#ERROR!</v>
      </c>
      <c r="AE50" s="13" t="str">
        <f>Targets_UW[[#This Row],[AWA+Leeway Top]]-Targets_UW[[#This Row],[ROT (deg)]]</f>
        <v>#ERROR!</v>
      </c>
      <c r="AF50" s="13" t="str">
        <f>Targets_UW[[#This Row],[CLEW (deg)]]+Targets_UW[[#This Row],[TWIST (deg)]]</f>
        <v>#ERROR!</v>
      </c>
      <c r="AG50" s="14" t="str">
        <f>Targets_UW[[#This Row],[AWA+Leeway Top]]-Targets_UW[[#This Row],[CA6]]</f>
        <v>#ERROR!</v>
      </c>
      <c r="AH50" s="7" t="str">
        <f>Targets_UW[[#This Row],[AWA+Leeway]]-Targets_UW[[#This Row],[JibLead (deg)]]</f>
        <v>#ERROR!</v>
      </c>
    </row>
    <row r="51" ht="14.25" customHeight="1">
      <c r="A51" s="3" t="s">
        <v>34</v>
      </c>
      <c r="B51" s="4" t="s">
        <v>38</v>
      </c>
      <c r="C51" s="4" t="s">
        <v>37</v>
      </c>
      <c r="D51" s="4">
        <v>27.5</v>
      </c>
      <c r="E51" s="4" t="str">
        <f t="shared" si="1"/>
        <v>Foiling_LAB2_LARW2-27.5m</v>
      </c>
      <c r="F51" s="4">
        <v>13.0</v>
      </c>
      <c r="G51" s="5" t="str">
        <f>ABS(Targets_UW[[#This Row],[BSP (km/h)]]*COS(RADIANS(Targets_UW[[#This Row],[TWA (deg)]]+Targets_UW[[#This Row],[LEEWAY (deg)]])))</f>
        <v>#ERROR!</v>
      </c>
      <c r="H51" s="5">
        <v>40.0</v>
      </c>
      <c r="I51" s="5">
        <v>50.0</v>
      </c>
      <c r="J51" s="5">
        <v>3.0</v>
      </c>
      <c r="K51" s="5">
        <v>4.5</v>
      </c>
      <c r="L51" s="5">
        <v>1.5</v>
      </c>
      <c r="M51" s="5" t="str">
        <f>Targets_UW[[#This Row],[CANT (deg)]]-Targets_UW[[#This Row],[HEEL (deg)]]</f>
        <v>#ERROR!</v>
      </c>
      <c r="N51" s="5">
        <v>1200.0</v>
      </c>
      <c r="O51" s="5">
        <v>0.35</v>
      </c>
      <c r="P51" s="5">
        <v>3.6</v>
      </c>
      <c r="Q51" s="5">
        <v>-3.0</v>
      </c>
      <c r="R51" s="5">
        <v>-19.0</v>
      </c>
      <c r="S51" s="5" t="str">
        <f>Targets_UW[[#This Row],[CLEW (deg)]]-0.5*Targets_UW[[#This Row],[CA1 (deg)]]</f>
        <v>#ERROR!</v>
      </c>
      <c r="T51" s="5">
        <v>-0.5</v>
      </c>
      <c r="U51" s="5">
        <v>25.0</v>
      </c>
      <c r="V51" s="5">
        <v>1000.0</v>
      </c>
      <c r="W51" s="5">
        <v>5.5</v>
      </c>
      <c r="X51" s="5">
        <v>1500.0</v>
      </c>
      <c r="Y51" s="5" t="str">
        <f>SQRT(Targets_UW[[#This Row],[TWS (km/h)]]^2+Targets_UW[[#This Row],[BSP (km/h)]]^2+2*Targets_UW[[#This Row],[TWS (km/h)]]*Targets_UW[[#This Row],[BSP (km/h)]]*COS(RADIANS(Targets_UW[[#This Row],[TWA (deg)]]+Targets_UW[[#This Row],[LEEWAY (deg)]])))</f>
        <v>#ERROR!</v>
      </c>
      <c r="Z51" s="5" t="str">
        <f>DEGREES(ASIN(Targets_UW[[#This Row],[TWS (km/h)]]*SIN(RADIANS(Targets_UW[[#This Row],[TWA (deg)]]+Targets_UW[[#This Row],[LEEWAY (deg)]]))/Targets_UW[[#This Row],[AWS]]))</f>
        <v>#ERROR!</v>
      </c>
      <c r="AA51" s="5" t="str">
        <f>Targets_UW[[#This Row],[AWA+Leeway]]-Targets_UW[[#This Row],[ROT (deg)]]</f>
        <v>#ERROR!</v>
      </c>
      <c r="AB51" s="5" t="str">
        <f>Targets_UW[[#This Row],[TWS (km/h)]]*(Targets_UW[[#This Row],[Wing]]/10)^0.1</f>
        <v>#ERROR!</v>
      </c>
      <c r="AC51" s="5" t="str">
        <f>SQRT(Targets_UW[[#This Row],[TWSTop]]^2+Targets_UW[[#This Row],[BSP (km/h)]]^2+2*Targets_UW[[#This Row],[BSP (km/h)]]*Targets_UW[[#This Row],[TWSTop]]*COS(RADIANS(Targets_UW[[#This Row],[TWA (deg)]]+Targets_UW[[#This Row],[LEEWAY (deg)]])))</f>
        <v>#ERROR!</v>
      </c>
      <c r="AD51" s="5" t="str">
        <f>DEGREES(ASIN(Targets_UW[[#This Row],[TWSTop]]*SIN(RADIANS(Targets_UW[[#This Row],[TWA (deg)]]+Targets_UW[[#This Row],[LEEWAY (deg)]]))/Targets_UW[[#This Row],[AWSTop]]))</f>
        <v>#ERROR!</v>
      </c>
      <c r="AE51" s="5" t="str">
        <f>Targets_UW[[#This Row],[AWA+Leeway Top]]-Targets_UW[[#This Row],[ROT (deg)]]</f>
        <v>#ERROR!</v>
      </c>
      <c r="AF51" s="5" t="str">
        <f>Targets_UW[[#This Row],[CLEW (deg)]]+Targets_UW[[#This Row],[TWIST (deg)]]</f>
        <v>#ERROR!</v>
      </c>
      <c r="AG51" s="6" t="str">
        <f>Targets_UW[[#This Row],[AWA+Leeway Top]]-Targets_UW[[#This Row],[CA6]]</f>
        <v>#ERROR!</v>
      </c>
      <c r="AH51" s="7" t="str">
        <f>Targets_UW[[#This Row],[AWA+Leeway]]-Targets_UW[[#This Row],[JibLead (deg)]]</f>
        <v>#ERROR!</v>
      </c>
    </row>
    <row r="52" ht="14.25" customHeight="1">
      <c r="A52" s="8" t="s">
        <v>34</v>
      </c>
      <c r="B52" s="9" t="s">
        <v>38</v>
      </c>
      <c r="C52" s="9" t="s">
        <v>37</v>
      </c>
      <c r="D52" s="9">
        <v>27.5</v>
      </c>
      <c r="E52" s="9" t="str">
        <f t="shared" si="1"/>
        <v>Foiling_LAB2_LARW2-27.5m</v>
      </c>
      <c r="F52" s="9">
        <v>14.0</v>
      </c>
      <c r="G52" s="7" t="str">
        <f>ABS(Targets_UW[[#This Row],[BSP (km/h)]]*COS(RADIANS(Targets_UW[[#This Row],[TWA (deg)]]+Targets_UW[[#This Row],[LEEWAY (deg)]])))</f>
        <v>#ERROR!</v>
      </c>
      <c r="H52" s="7">
        <v>41.0</v>
      </c>
      <c r="I52" s="7">
        <v>48.0</v>
      </c>
      <c r="J52" s="7">
        <v>2.5</v>
      </c>
      <c r="K52" s="7">
        <v>4.0</v>
      </c>
      <c r="L52" s="7">
        <v>1.5</v>
      </c>
      <c r="M52" s="7" t="str">
        <f>Targets_UW[[#This Row],[CANT (deg)]]-Targets_UW[[#This Row],[HEEL (deg)]]</f>
        <v>#ERROR!</v>
      </c>
      <c r="N52" s="7">
        <v>1200.0</v>
      </c>
      <c r="O52" s="7">
        <v>0.4</v>
      </c>
      <c r="P52" s="7">
        <v>3.5</v>
      </c>
      <c r="Q52" s="7">
        <v>-3.0</v>
      </c>
      <c r="R52" s="7">
        <v>-18.7</v>
      </c>
      <c r="S52" s="7" t="str">
        <f>Targets_UW[[#This Row],[CLEW (deg)]]-0.5*Targets_UW[[#This Row],[CA1 (deg)]]</f>
        <v>#ERROR!</v>
      </c>
      <c r="T52" s="7">
        <v>0.0</v>
      </c>
      <c r="U52" s="7">
        <v>25.0</v>
      </c>
      <c r="V52" s="7">
        <v>1200.0</v>
      </c>
      <c r="W52" s="7">
        <v>5.9</v>
      </c>
      <c r="X52" s="7">
        <v>1630.0</v>
      </c>
      <c r="Y52" s="7" t="str">
        <f>SQRT(Targets_UW[[#This Row],[TWS (km/h)]]^2+Targets_UW[[#This Row],[BSP (km/h)]]^2+2*Targets_UW[[#This Row],[TWS (km/h)]]*Targets_UW[[#This Row],[BSP (km/h)]]*COS(RADIANS(Targets_UW[[#This Row],[TWA (deg)]]+Targets_UW[[#This Row],[LEEWAY (deg)]])))</f>
        <v>#ERROR!</v>
      </c>
      <c r="Z52" s="7" t="str">
        <f>DEGREES(ASIN(Targets_UW[[#This Row],[TWS (km/h)]]*SIN(RADIANS(Targets_UW[[#This Row],[TWA (deg)]]+Targets_UW[[#This Row],[LEEWAY (deg)]]))/Targets_UW[[#This Row],[AWS]]))</f>
        <v>#ERROR!</v>
      </c>
      <c r="AA52" s="7" t="str">
        <f>Targets_UW[[#This Row],[AWA+Leeway]]-Targets_UW[[#This Row],[ROT (deg)]]</f>
        <v>#ERROR!</v>
      </c>
      <c r="AB52" s="7" t="str">
        <f>Targets_UW[[#This Row],[TWS (km/h)]]*(Targets_UW[[#This Row],[Wing]]/10)^0.1</f>
        <v>#ERROR!</v>
      </c>
      <c r="AC52" s="7" t="str">
        <f>SQRT(Targets_UW[[#This Row],[TWSTop]]^2+Targets_UW[[#This Row],[BSP (km/h)]]^2+2*Targets_UW[[#This Row],[BSP (km/h)]]*Targets_UW[[#This Row],[TWSTop]]*COS(RADIANS(Targets_UW[[#This Row],[TWA (deg)]]+Targets_UW[[#This Row],[LEEWAY (deg)]])))</f>
        <v>#ERROR!</v>
      </c>
      <c r="AD52" s="7" t="str">
        <f>DEGREES(ASIN(Targets_UW[[#This Row],[TWSTop]]*SIN(RADIANS(Targets_UW[[#This Row],[TWA (deg)]]+Targets_UW[[#This Row],[LEEWAY (deg)]]))/Targets_UW[[#This Row],[AWSTop]]))</f>
        <v>#ERROR!</v>
      </c>
      <c r="AE52" s="7" t="str">
        <f>Targets_UW[[#This Row],[AWA+Leeway Top]]-Targets_UW[[#This Row],[ROT (deg)]]</f>
        <v>#ERROR!</v>
      </c>
      <c r="AF52" s="7" t="str">
        <f>Targets_UW[[#This Row],[CLEW (deg)]]+Targets_UW[[#This Row],[TWIST (deg)]]</f>
        <v>#ERROR!</v>
      </c>
      <c r="AG52" s="10" t="str">
        <f>Targets_UW[[#This Row],[AWA+Leeway Top]]-Targets_UW[[#This Row],[CA6]]</f>
        <v>#ERROR!</v>
      </c>
      <c r="AH52" s="7" t="str">
        <f>Targets_UW[[#This Row],[AWA+Leeway]]-Targets_UW[[#This Row],[JibLead (deg)]]</f>
        <v>#ERROR!</v>
      </c>
    </row>
    <row r="53" ht="14.25" customHeight="1">
      <c r="A53" s="8" t="s">
        <v>34</v>
      </c>
      <c r="B53" s="9" t="s">
        <v>38</v>
      </c>
      <c r="C53" s="9" t="s">
        <v>37</v>
      </c>
      <c r="D53" s="9">
        <v>27.5</v>
      </c>
      <c r="E53" s="9" t="str">
        <f t="shared" si="1"/>
        <v>Foiling_LAB2_LARW2-27.5m</v>
      </c>
      <c r="F53" s="9">
        <v>15.0</v>
      </c>
      <c r="G53" s="7" t="str">
        <f>ABS(Targets_UW[[#This Row],[BSP (km/h)]]*COS(RADIANS(Targets_UW[[#This Row],[TWA (deg)]]+Targets_UW[[#This Row],[LEEWAY (deg)]])))</f>
        <v>#ERROR!</v>
      </c>
      <c r="H53" s="7">
        <v>41.5</v>
      </c>
      <c r="I53" s="7">
        <v>46.0</v>
      </c>
      <c r="J53" s="7">
        <v>2.2</v>
      </c>
      <c r="K53" s="7">
        <v>3.5</v>
      </c>
      <c r="L53" s="7">
        <v>1.5</v>
      </c>
      <c r="M53" s="7" t="str">
        <f>Targets_UW[[#This Row],[CANT (deg)]]-Targets_UW[[#This Row],[HEEL (deg)]]</f>
        <v>#ERROR!</v>
      </c>
      <c r="N53" s="7">
        <v>1175.0</v>
      </c>
      <c r="O53" s="7">
        <v>0.4</v>
      </c>
      <c r="P53" s="7">
        <v>3.5</v>
      </c>
      <c r="Q53" s="7">
        <v>-3.0</v>
      </c>
      <c r="R53" s="7">
        <v>-18.5</v>
      </c>
      <c r="S53" s="7" t="str">
        <f>Targets_UW[[#This Row],[CLEW (deg)]]-0.5*Targets_UW[[#This Row],[CA1 (deg)]]</f>
        <v>#ERROR!</v>
      </c>
      <c r="T53" s="7">
        <v>0.4</v>
      </c>
      <c r="U53" s="7">
        <v>25.0</v>
      </c>
      <c r="V53" s="7">
        <v>1350.0</v>
      </c>
      <c r="W53" s="7">
        <v>6.2</v>
      </c>
      <c r="X53" s="7">
        <v>1700.0</v>
      </c>
      <c r="Y53" s="7" t="str">
        <f>SQRT(Targets_UW[[#This Row],[TWS (km/h)]]^2+Targets_UW[[#This Row],[BSP (km/h)]]^2+2*Targets_UW[[#This Row],[TWS (km/h)]]*Targets_UW[[#This Row],[BSP (km/h)]]*COS(RADIANS(Targets_UW[[#This Row],[TWA (deg)]]+Targets_UW[[#This Row],[LEEWAY (deg)]])))</f>
        <v>#ERROR!</v>
      </c>
      <c r="Z53" s="7" t="str">
        <f>DEGREES(ASIN(Targets_UW[[#This Row],[TWS (km/h)]]*SIN(RADIANS(Targets_UW[[#This Row],[TWA (deg)]]+Targets_UW[[#This Row],[LEEWAY (deg)]]))/Targets_UW[[#This Row],[AWS]]))</f>
        <v>#ERROR!</v>
      </c>
      <c r="AA53" s="7" t="str">
        <f>Targets_UW[[#This Row],[AWA+Leeway]]-Targets_UW[[#This Row],[ROT (deg)]]</f>
        <v>#ERROR!</v>
      </c>
      <c r="AB53" s="7" t="str">
        <f>Targets_UW[[#This Row],[TWS (km/h)]]*(Targets_UW[[#This Row],[Wing]]/10)^0.1</f>
        <v>#ERROR!</v>
      </c>
      <c r="AC53" s="7" t="str">
        <f>SQRT(Targets_UW[[#This Row],[TWSTop]]^2+Targets_UW[[#This Row],[BSP (km/h)]]^2+2*Targets_UW[[#This Row],[BSP (km/h)]]*Targets_UW[[#This Row],[TWSTop]]*COS(RADIANS(Targets_UW[[#This Row],[TWA (deg)]]+Targets_UW[[#This Row],[LEEWAY (deg)]])))</f>
        <v>#ERROR!</v>
      </c>
      <c r="AD53" s="7" t="str">
        <f>DEGREES(ASIN(Targets_UW[[#This Row],[TWSTop]]*SIN(RADIANS(Targets_UW[[#This Row],[TWA (deg)]]+Targets_UW[[#This Row],[LEEWAY (deg)]]))/Targets_UW[[#This Row],[AWSTop]]))</f>
        <v>#ERROR!</v>
      </c>
      <c r="AE53" s="7" t="str">
        <f>Targets_UW[[#This Row],[AWA+Leeway Top]]-Targets_UW[[#This Row],[ROT (deg)]]</f>
        <v>#ERROR!</v>
      </c>
      <c r="AF53" s="7" t="str">
        <f>Targets_UW[[#This Row],[CLEW (deg)]]+Targets_UW[[#This Row],[TWIST (deg)]]</f>
        <v>#ERROR!</v>
      </c>
      <c r="AG53" s="10" t="str">
        <f>Targets_UW[[#This Row],[AWA+Leeway Top]]-Targets_UW[[#This Row],[CA6]]</f>
        <v>#ERROR!</v>
      </c>
      <c r="AH53" s="7" t="str">
        <f>Targets_UW[[#This Row],[AWA+Leeway]]-Targets_UW[[#This Row],[JibLead (deg)]]</f>
        <v>#ERROR!</v>
      </c>
    </row>
    <row r="54" ht="14.25" customHeight="1">
      <c r="A54" s="8" t="s">
        <v>34</v>
      </c>
      <c r="B54" s="9" t="s">
        <v>38</v>
      </c>
      <c r="C54" s="9" t="s">
        <v>37</v>
      </c>
      <c r="D54" s="9">
        <v>27.5</v>
      </c>
      <c r="E54" s="9" t="str">
        <f t="shared" si="1"/>
        <v>Foiling_LAB2_LARW2-27.5m</v>
      </c>
      <c r="F54" s="9">
        <v>16.0</v>
      </c>
      <c r="G54" s="7" t="str">
        <f>ABS(Targets_UW[[#This Row],[BSP (km/h)]]*COS(RADIANS(Targets_UW[[#This Row],[TWA (deg)]]+Targets_UW[[#This Row],[LEEWAY (deg)]])))</f>
        <v>#ERROR!</v>
      </c>
      <c r="H54" s="7">
        <v>42.0</v>
      </c>
      <c r="I54" s="7">
        <v>45.3</v>
      </c>
      <c r="J54" s="7">
        <v>2.0</v>
      </c>
      <c r="K54" s="7">
        <v>3.0</v>
      </c>
      <c r="L54" s="7">
        <v>1.5</v>
      </c>
      <c r="M54" s="7" t="str">
        <f>Targets_UW[[#This Row],[CANT (deg)]]-Targets_UW[[#This Row],[HEEL (deg)]]</f>
        <v>#ERROR!</v>
      </c>
      <c r="N54" s="7">
        <v>1150.0</v>
      </c>
      <c r="O54" s="7">
        <v>0.4</v>
      </c>
      <c r="P54" s="7">
        <v>3.5</v>
      </c>
      <c r="Q54" s="7">
        <v>-3.0</v>
      </c>
      <c r="R54" s="7">
        <v>-18.3</v>
      </c>
      <c r="S54" s="7" t="str">
        <f>Targets_UW[[#This Row],[CLEW (deg)]]-0.5*Targets_UW[[#This Row],[CA1 (deg)]]</f>
        <v>#ERROR!</v>
      </c>
      <c r="T54" s="7">
        <v>0.8</v>
      </c>
      <c r="U54" s="7">
        <v>25.0</v>
      </c>
      <c r="V54" s="7">
        <v>1475.0</v>
      </c>
      <c r="W54" s="7">
        <v>6.4</v>
      </c>
      <c r="X54" s="7">
        <v>1780.0</v>
      </c>
      <c r="Y54" s="7" t="str">
        <f>SQRT(Targets_UW[[#This Row],[TWS (km/h)]]^2+Targets_UW[[#This Row],[BSP (km/h)]]^2+2*Targets_UW[[#This Row],[TWS (km/h)]]*Targets_UW[[#This Row],[BSP (km/h)]]*COS(RADIANS(Targets_UW[[#This Row],[TWA (deg)]]+Targets_UW[[#This Row],[LEEWAY (deg)]])))</f>
        <v>#ERROR!</v>
      </c>
      <c r="Z54" s="7" t="str">
        <f>DEGREES(ASIN(Targets_UW[[#This Row],[TWS (km/h)]]*SIN(RADIANS(Targets_UW[[#This Row],[TWA (deg)]]+Targets_UW[[#This Row],[LEEWAY (deg)]]))/Targets_UW[[#This Row],[AWS]]))</f>
        <v>#ERROR!</v>
      </c>
      <c r="AA54" s="7" t="str">
        <f>Targets_UW[[#This Row],[AWA+Leeway]]-Targets_UW[[#This Row],[ROT (deg)]]</f>
        <v>#ERROR!</v>
      </c>
      <c r="AB54" s="7" t="str">
        <f>Targets_UW[[#This Row],[TWS (km/h)]]*(Targets_UW[[#This Row],[Wing]]/10)^0.1</f>
        <v>#ERROR!</v>
      </c>
      <c r="AC54" s="7" t="str">
        <f>SQRT(Targets_UW[[#This Row],[TWSTop]]^2+Targets_UW[[#This Row],[BSP (km/h)]]^2+2*Targets_UW[[#This Row],[BSP (km/h)]]*Targets_UW[[#This Row],[TWSTop]]*COS(RADIANS(Targets_UW[[#This Row],[TWA (deg)]]+Targets_UW[[#This Row],[LEEWAY (deg)]])))</f>
        <v>#ERROR!</v>
      </c>
      <c r="AD54" s="7" t="str">
        <f>DEGREES(ASIN(Targets_UW[[#This Row],[TWSTop]]*SIN(RADIANS(Targets_UW[[#This Row],[TWA (deg)]]+Targets_UW[[#This Row],[LEEWAY (deg)]]))/Targets_UW[[#This Row],[AWSTop]]))</f>
        <v>#ERROR!</v>
      </c>
      <c r="AE54" s="7" t="str">
        <f>Targets_UW[[#This Row],[AWA+Leeway Top]]-Targets_UW[[#This Row],[ROT (deg)]]</f>
        <v>#ERROR!</v>
      </c>
      <c r="AF54" s="7" t="str">
        <f>Targets_UW[[#This Row],[CLEW (deg)]]+Targets_UW[[#This Row],[TWIST (deg)]]</f>
        <v>#ERROR!</v>
      </c>
      <c r="AG54" s="10" t="str">
        <f>Targets_UW[[#This Row],[AWA+Leeway Top]]-Targets_UW[[#This Row],[CA6]]</f>
        <v>#ERROR!</v>
      </c>
      <c r="AH54" s="7" t="str">
        <f>Targets_UW[[#This Row],[AWA+Leeway]]-Targets_UW[[#This Row],[JibLead (deg)]]</f>
        <v>#ERROR!</v>
      </c>
    </row>
    <row r="55" ht="14.25" customHeight="1">
      <c r="A55" s="8" t="s">
        <v>34</v>
      </c>
      <c r="B55" s="9" t="s">
        <v>38</v>
      </c>
      <c r="C55" s="9" t="s">
        <v>37</v>
      </c>
      <c r="D55" s="9">
        <v>27.5</v>
      </c>
      <c r="E55" s="9" t="str">
        <f t="shared" si="1"/>
        <v>Foiling_LAB2_LARW2-27.5m</v>
      </c>
      <c r="F55" s="9">
        <v>17.0</v>
      </c>
      <c r="G55" s="7" t="str">
        <f>ABS(Targets_UW[[#This Row],[BSP (km/h)]]*COS(RADIANS(Targets_UW[[#This Row],[TWA (deg)]]+Targets_UW[[#This Row],[LEEWAY (deg)]])))</f>
        <v>#ERROR!</v>
      </c>
      <c r="H55" s="7">
        <v>41.5</v>
      </c>
      <c r="I55" s="7">
        <v>44.0</v>
      </c>
      <c r="J55" s="7">
        <v>1.8</v>
      </c>
      <c r="K55" s="7">
        <v>2.5</v>
      </c>
      <c r="L55" s="7">
        <v>1.5</v>
      </c>
      <c r="M55" s="7" t="str">
        <f>Targets_UW[[#This Row],[CANT (deg)]]-Targets_UW[[#This Row],[HEEL (deg)]]</f>
        <v>#ERROR!</v>
      </c>
      <c r="N55" s="7">
        <v>1150.0</v>
      </c>
      <c r="O55" s="7">
        <v>0.4</v>
      </c>
      <c r="P55" s="7">
        <v>3.5</v>
      </c>
      <c r="Q55" s="7">
        <v>-3.0</v>
      </c>
      <c r="R55" s="7">
        <v>-18.0</v>
      </c>
      <c r="S55" s="7" t="str">
        <f>Targets_UW[[#This Row],[CLEW (deg)]]-0.5*Targets_UW[[#This Row],[CA1 (deg)]]</f>
        <v>#ERROR!</v>
      </c>
      <c r="T55" s="7">
        <v>1.2</v>
      </c>
      <c r="U55" s="7">
        <v>25.0</v>
      </c>
      <c r="V55" s="7">
        <v>1525.0</v>
      </c>
      <c r="W55" s="7">
        <v>6.5</v>
      </c>
      <c r="X55" s="7">
        <v>1800.0</v>
      </c>
      <c r="Y55" s="7" t="str">
        <f>SQRT(Targets_UW[[#This Row],[TWS (km/h)]]^2+Targets_UW[[#This Row],[BSP (km/h)]]^2+2*Targets_UW[[#This Row],[TWS (km/h)]]*Targets_UW[[#This Row],[BSP (km/h)]]*COS(RADIANS(Targets_UW[[#This Row],[TWA (deg)]]+Targets_UW[[#This Row],[LEEWAY (deg)]])))</f>
        <v>#ERROR!</v>
      </c>
      <c r="Z55" s="7" t="str">
        <f>DEGREES(ASIN(Targets_UW[[#This Row],[TWS (km/h)]]*SIN(RADIANS(Targets_UW[[#This Row],[TWA (deg)]]+Targets_UW[[#This Row],[LEEWAY (deg)]]))/Targets_UW[[#This Row],[AWS]]))</f>
        <v>#ERROR!</v>
      </c>
      <c r="AA55" s="7" t="str">
        <f>Targets_UW[[#This Row],[AWA+Leeway]]-Targets_UW[[#This Row],[ROT (deg)]]</f>
        <v>#ERROR!</v>
      </c>
      <c r="AB55" s="7" t="str">
        <f>Targets_UW[[#This Row],[TWS (km/h)]]*(Targets_UW[[#This Row],[Wing]]/10)^0.1</f>
        <v>#ERROR!</v>
      </c>
      <c r="AC55" s="7" t="str">
        <f>SQRT(Targets_UW[[#This Row],[TWSTop]]^2+Targets_UW[[#This Row],[BSP (km/h)]]^2+2*Targets_UW[[#This Row],[BSP (km/h)]]*Targets_UW[[#This Row],[TWSTop]]*COS(RADIANS(Targets_UW[[#This Row],[TWA (deg)]]+Targets_UW[[#This Row],[LEEWAY (deg)]])))</f>
        <v>#ERROR!</v>
      </c>
      <c r="AD55" s="7" t="str">
        <f>DEGREES(ASIN(Targets_UW[[#This Row],[TWSTop]]*SIN(RADIANS(Targets_UW[[#This Row],[TWA (deg)]]+Targets_UW[[#This Row],[LEEWAY (deg)]]))/Targets_UW[[#This Row],[AWSTop]]))</f>
        <v>#ERROR!</v>
      </c>
      <c r="AE55" s="7" t="str">
        <f>Targets_UW[[#This Row],[AWA+Leeway Top]]-Targets_UW[[#This Row],[ROT (deg)]]</f>
        <v>#ERROR!</v>
      </c>
      <c r="AF55" s="7" t="str">
        <f>Targets_UW[[#This Row],[CLEW (deg)]]+Targets_UW[[#This Row],[TWIST (deg)]]</f>
        <v>#ERROR!</v>
      </c>
      <c r="AG55" s="10" t="str">
        <f>Targets_UW[[#This Row],[AWA+Leeway Top]]-Targets_UW[[#This Row],[CA6]]</f>
        <v>#ERROR!</v>
      </c>
      <c r="AH55" s="7" t="str">
        <f>Targets_UW[[#This Row],[AWA+Leeway]]-Targets_UW[[#This Row],[JibLead (deg)]]</f>
        <v>#ERROR!</v>
      </c>
    </row>
    <row r="56" ht="14.25" customHeight="1">
      <c r="A56" s="8" t="s">
        <v>34</v>
      </c>
      <c r="B56" s="9" t="s">
        <v>38</v>
      </c>
      <c r="C56" s="9" t="s">
        <v>37</v>
      </c>
      <c r="D56" s="9">
        <v>27.5</v>
      </c>
      <c r="E56" s="9" t="str">
        <f t="shared" si="1"/>
        <v>Foiling_LAB2_LARW2-27.5m</v>
      </c>
      <c r="F56" s="9">
        <v>18.0</v>
      </c>
      <c r="G56" s="7" t="str">
        <f>ABS(Targets_UW[[#This Row],[BSP (km/h)]]*COS(RADIANS(Targets_UW[[#This Row],[TWA (deg)]]+Targets_UW[[#This Row],[LEEWAY (deg)]])))</f>
        <v>#ERROR!</v>
      </c>
      <c r="H56" s="7">
        <v>41.3</v>
      </c>
      <c r="I56" s="7">
        <v>43.5</v>
      </c>
      <c r="J56" s="7">
        <v>1.5</v>
      </c>
      <c r="K56" s="7">
        <v>2.0</v>
      </c>
      <c r="L56" s="7">
        <v>1.5</v>
      </c>
      <c r="M56" s="7" t="str">
        <f>Targets_UW[[#This Row],[CANT (deg)]]-Targets_UW[[#This Row],[HEEL (deg)]]</f>
        <v>#ERROR!</v>
      </c>
      <c r="N56" s="7">
        <v>1150.0</v>
      </c>
      <c r="O56" s="7">
        <v>0.4</v>
      </c>
      <c r="P56" s="7">
        <v>3.5</v>
      </c>
      <c r="Q56" s="7">
        <v>-3.0</v>
      </c>
      <c r="R56" s="7">
        <v>-17.7</v>
      </c>
      <c r="S56" s="7" t="str">
        <f>Targets_UW[[#This Row],[CLEW (deg)]]-0.5*Targets_UW[[#This Row],[CA1 (deg)]]</f>
        <v>#ERROR!</v>
      </c>
      <c r="T56" s="7">
        <v>1.5</v>
      </c>
      <c r="U56" s="7">
        <v>25.0</v>
      </c>
      <c r="V56" s="7">
        <v>1600.0</v>
      </c>
      <c r="W56" s="7">
        <v>6.5</v>
      </c>
      <c r="X56" s="7">
        <v>1800.0</v>
      </c>
      <c r="Y56" s="7" t="str">
        <f>SQRT(Targets_UW[[#This Row],[TWS (km/h)]]^2+Targets_UW[[#This Row],[BSP (km/h)]]^2+2*Targets_UW[[#This Row],[TWS (km/h)]]*Targets_UW[[#This Row],[BSP (km/h)]]*COS(RADIANS(Targets_UW[[#This Row],[TWA (deg)]]+Targets_UW[[#This Row],[LEEWAY (deg)]])))</f>
        <v>#ERROR!</v>
      </c>
      <c r="Z56" s="7" t="str">
        <f>DEGREES(ASIN(Targets_UW[[#This Row],[TWS (km/h)]]*SIN(RADIANS(Targets_UW[[#This Row],[TWA (deg)]]+Targets_UW[[#This Row],[LEEWAY (deg)]]))/Targets_UW[[#This Row],[AWS]]))</f>
        <v>#ERROR!</v>
      </c>
      <c r="AA56" s="7" t="str">
        <f>Targets_UW[[#This Row],[AWA+Leeway]]-Targets_UW[[#This Row],[ROT (deg)]]</f>
        <v>#ERROR!</v>
      </c>
      <c r="AB56" s="7" t="str">
        <f>Targets_UW[[#This Row],[TWS (km/h)]]*(Targets_UW[[#This Row],[Wing]]/10)^0.1</f>
        <v>#ERROR!</v>
      </c>
      <c r="AC56" s="7" t="str">
        <f>SQRT(Targets_UW[[#This Row],[TWSTop]]^2+Targets_UW[[#This Row],[BSP (km/h)]]^2+2*Targets_UW[[#This Row],[BSP (km/h)]]*Targets_UW[[#This Row],[TWSTop]]*COS(RADIANS(Targets_UW[[#This Row],[TWA (deg)]]+Targets_UW[[#This Row],[LEEWAY (deg)]])))</f>
        <v>#ERROR!</v>
      </c>
      <c r="AD56" s="7" t="str">
        <f>DEGREES(ASIN(Targets_UW[[#This Row],[TWSTop]]*SIN(RADIANS(Targets_UW[[#This Row],[TWA (deg)]]+Targets_UW[[#This Row],[LEEWAY (deg)]]))/Targets_UW[[#This Row],[AWSTop]]))</f>
        <v>#ERROR!</v>
      </c>
      <c r="AE56" s="7" t="str">
        <f>Targets_UW[[#This Row],[AWA+Leeway Top]]-Targets_UW[[#This Row],[ROT (deg)]]</f>
        <v>#ERROR!</v>
      </c>
      <c r="AF56" s="7" t="str">
        <f>Targets_UW[[#This Row],[CLEW (deg)]]+Targets_UW[[#This Row],[TWIST (deg)]]</f>
        <v>#ERROR!</v>
      </c>
      <c r="AG56" s="10" t="str">
        <f>Targets_UW[[#This Row],[AWA+Leeway Top]]-Targets_UW[[#This Row],[CA6]]</f>
        <v>#ERROR!</v>
      </c>
      <c r="AH56" s="7" t="str">
        <f>Targets_UW[[#This Row],[AWA+Leeway]]-Targets_UW[[#This Row],[JibLead (deg)]]</f>
        <v>#ERROR!</v>
      </c>
    </row>
    <row r="57" ht="14.25" customHeight="1">
      <c r="A57" s="11" t="s">
        <v>34</v>
      </c>
      <c r="B57" s="12" t="s">
        <v>38</v>
      </c>
      <c r="C57" s="12" t="s">
        <v>37</v>
      </c>
      <c r="D57" s="12">
        <v>27.5</v>
      </c>
      <c r="E57" s="12" t="str">
        <f t="shared" si="1"/>
        <v>Foiling_LAB2_LARW2-27.5m</v>
      </c>
      <c r="F57" s="12">
        <v>20.0</v>
      </c>
      <c r="G57" s="13" t="str">
        <f>ABS(Targets_UW[[#This Row],[BSP (km/h)]]*COS(RADIANS(Targets_UW[[#This Row],[TWA (deg)]]+Targets_UW[[#This Row],[LEEWAY (deg)]])))</f>
        <v>#ERROR!</v>
      </c>
      <c r="H57" s="13">
        <v>41.0</v>
      </c>
      <c r="I57" s="13">
        <v>43.0</v>
      </c>
      <c r="J57" s="13">
        <v>1.0</v>
      </c>
      <c r="K57" s="13">
        <v>0.5</v>
      </c>
      <c r="L57" s="13">
        <v>1.5</v>
      </c>
      <c r="M57" s="13" t="str">
        <f>Targets_UW[[#This Row],[CANT (deg)]]-Targets_UW[[#This Row],[HEEL (deg)]]</f>
        <v>#ERROR!</v>
      </c>
      <c r="N57" s="13">
        <v>1150.0</v>
      </c>
      <c r="O57" s="13">
        <v>0.4</v>
      </c>
      <c r="P57" s="13">
        <v>3.5</v>
      </c>
      <c r="Q57" s="13">
        <v>-3.0</v>
      </c>
      <c r="R57" s="13">
        <v>-17.2</v>
      </c>
      <c r="S57" s="13" t="str">
        <f>Targets_UW[[#This Row],[CLEW (deg)]]-0.5*Targets_UW[[#This Row],[CA1 (deg)]]</f>
        <v>#ERROR!</v>
      </c>
      <c r="T57" s="13">
        <v>1.5</v>
      </c>
      <c r="U57" s="13">
        <v>25.0</v>
      </c>
      <c r="V57" s="13">
        <v>1700.0</v>
      </c>
      <c r="W57" s="13">
        <v>6.5</v>
      </c>
      <c r="X57" s="13">
        <v>1800.0</v>
      </c>
      <c r="Y57" s="13" t="str">
        <f>SQRT(Targets_UW[[#This Row],[TWS (km/h)]]^2+Targets_UW[[#This Row],[BSP (km/h)]]^2+2*Targets_UW[[#This Row],[TWS (km/h)]]*Targets_UW[[#This Row],[BSP (km/h)]]*COS(RADIANS(Targets_UW[[#This Row],[TWA (deg)]]+Targets_UW[[#This Row],[LEEWAY (deg)]])))</f>
        <v>#ERROR!</v>
      </c>
      <c r="Z57" s="13" t="str">
        <f>DEGREES(ASIN(Targets_UW[[#This Row],[TWS (km/h)]]*SIN(RADIANS(Targets_UW[[#This Row],[TWA (deg)]]+Targets_UW[[#This Row],[LEEWAY (deg)]]))/Targets_UW[[#This Row],[AWS]]))</f>
        <v>#ERROR!</v>
      </c>
      <c r="AA57" s="13" t="str">
        <f>Targets_UW[[#This Row],[AWA+Leeway]]-Targets_UW[[#This Row],[ROT (deg)]]</f>
        <v>#ERROR!</v>
      </c>
      <c r="AB57" s="13" t="str">
        <f>Targets_UW[[#This Row],[TWS (km/h)]]*(Targets_UW[[#This Row],[Wing]]/10)^0.1</f>
        <v>#ERROR!</v>
      </c>
      <c r="AC57" s="13" t="str">
        <f>SQRT(Targets_UW[[#This Row],[TWSTop]]^2+Targets_UW[[#This Row],[BSP (km/h)]]^2+2*Targets_UW[[#This Row],[BSP (km/h)]]*Targets_UW[[#This Row],[TWSTop]]*COS(RADIANS(Targets_UW[[#This Row],[TWA (deg)]]+Targets_UW[[#This Row],[LEEWAY (deg)]])))</f>
        <v>#ERROR!</v>
      </c>
      <c r="AD57" s="13" t="str">
        <f>DEGREES(ASIN(Targets_UW[[#This Row],[TWSTop]]*SIN(RADIANS(Targets_UW[[#This Row],[TWA (deg)]]+Targets_UW[[#This Row],[LEEWAY (deg)]]))/Targets_UW[[#This Row],[AWSTop]]))</f>
        <v>#ERROR!</v>
      </c>
      <c r="AE57" s="13" t="str">
        <f>Targets_UW[[#This Row],[AWA+Leeway Top]]-Targets_UW[[#This Row],[ROT (deg)]]</f>
        <v>#ERROR!</v>
      </c>
      <c r="AF57" s="13" t="str">
        <f>Targets_UW[[#This Row],[CLEW (deg)]]+Targets_UW[[#This Row],[TWIST (deg)]]</f>
        <v>#ERROR!</v>
      </c>
      <c r="AG57" s="14" t="str">
        <f>Targets_UW[[#This Row],[AWA+Leeway Top]]-Targets_UW[[#This Row],[CA6]]</f>
        <v>#ERROR!</v>
      </c>
      <c r="AH57" s="7" t="str">
        <f>Targets_UW[[#This Row],[AWA+Leeway]]-Targets_UW[[#This Row],[JibLead (deg)]]</f>
        <v>#ERROR!</v>
      </c>
    </row>
    <row r="58" ht="14.25" customHeight="1">
      <c r="A58" s="15" t="s">
        <v>39</v>
      </c>
      <c r="B58" s="16" t="s">
        <v>35</v>
      </c>
      <c r="C58" s="16" t="s">
        <v>37</v>
      </c>
      <c r="D58" s="16">
        <v>24.0</v>
      </c>
      <c r="E58" s="16" t="str">
        <f t="shared" si="1"/>
        <v>H2_HSB2_LARW2-24m</v>
      </c>
      <c r="F58" s="16">
        <v>7.0</v>
      </c>
      <c r="G58" s="17" t="str">
        <f>ABS(Targets_UW[[#This Row],[BSP (km/h)]]*COS(RADIANS(Targets_UW[[#This Row],[TWA (deg)]]+Targets_UW[[#This Row],[LEEWAY (deg)]])))</f>
        <v>#ERROR!</v>
      </c>
      <c r="H58" s="17">
        <v>12.5</v>
      </c>
      <c r="I58" s="17">
        <v>50.0</v>
      </c>
      <c r="J58" s="17">
        <v>3.5</v>
      </c>
      <c r="K58" s="17">
        <v>3.5</v>
      </c>
      <c r="L58" s="17">
        <v>-0.5</v>
      </c>
      <c r="M58" s="17" t="str">
        <f>Targets_UW[[#This Row],[CANT (deg)]]-Targets_UW[[#This Row],[HEEL (deg)]]</f>
        <v>#ERROR!</v>
      </c>
      <c r="N58" s="17"/>
      <c r="O58" s="17">
        <v>0.0</v>
      </c>
      <c r="P58" s="17">
        <v>2.7</v>
      </c>
      <c r="Q58" s="17">
        <v>-0.1</v>
      </c>
      <c r="R58" s="17">
        <v>-29.0</v>
      </c>
      <c r="S58" s="17" t="str">
        <f>Targets_UW[[#This Row],[CLEW (deg)]]-0.5*Targets_UW[[#This Row],[CA1 (deg)]]</f>
        <v>#ERROR!</v>
      </c>
      <c r="T58" s="17">
        <v>0.0</v>
      </c>
      <c r="U58" s="17">
        <v>5.0</v>
      </c>
      <c r="V58" s="17">
        <v>50.0</v>
      </c>
      <c r="W58" s="17">
        <v>6.0</v>
      </c>
      <c r="X58" s="17">
        <v>50.0</v>
      </c>
      <c r="Y58" s="17" t="str">
        <f>SQRT(Targets_UW[[#This Row],[TWS (km/h)]]^2+Targets_UW[[#This Row],[BSP (km/h)]]^2+2*Targets_UW[[#This Row],[TWS (km/h)]]*Targets_UW[[#This Row],[BSP (km/h)]]*COS(RADIANS(Targets_UW[[#This Row],[TWA (deg)]]+Targets_UW[[#This Row],[LEEWAY (deg)]])))</f>
        <v>#ERROR!</v>
      </c>
      <c r="Z58" s="17" t="str">
        <f>DEGREES(ASIN(Targets_UW[[#This Row],[TWS (km/h)]]*SIN(RADIANS(Targets_UW[[#This Row],[TWA (deg)]]+Targets_UW[[#This Row],[LEEWAY (deg)]]))/Targets_UW[[#This Row],[AWS]]))</f>
        <v>#ERROR!</v>
      </c>
      <c r="AA58" s="17" t="str">
        <f>Targets_UW[[#This Row],[AWA+Leeway]]-Targets_UW[[#This Row],[ROT (deg)]]</f>
        <v>#ERROR!</v>
      </c>
      <c r="AB58" s="17" t="str">
        <f>Targets_UW[[#This Row],[TWS (km/h)]]*(Targets_UW[[#This Row],[Wing]]/10)^0.1</f>
        <v>#ERROR!</v>
      </c>
      <c r="AC58" s="17" t="str">
        <f>SQRT(Targets_UW[[#This Row],[TWSTop]]^2+Targets_UW[[#This Row],[BSP (km/h)]]^2+2*Targets_UW[[#This Row],[BSP (km/h)]]*Targets_UW[[#This Row],[TWSTop]]*COS(RADIANS(Targets_UW[[#This Row],[TWA (deg)]]+Targets_UW[[#This Row],[LEEWAY (deg)]])))</f>
        <v>#ERROR!</v>
      </c>
      <c r="AD58" s="17" t="str">
        <f>DEGREES(ASIN(Targets_UW[[#This Row],[TWSTop]]*SIN(RADIANS(Targets_UW[[#This Row],[TWA (deg)]]+Targets_UW[[#This Row],[LEEWAY (deg)]]))/Targets_UW[[#This Row],[AWSTop]]))</f>
        <v>#ERROR!</v>
      </c>
      <c r="AE58" s="17" t="str">
        <f>Targets_UW[[#This Row],[AWA+Leeway Top]]-Targets_UW[[#This Row],[ROT (deg)]]</f>
        <v>#ERROR!</v>
      </c>
      <c r="AF58" s="17" t="str">
        <f>Targets_UW[[#This Row],[CLEW (deg)]]+Targets_UW[[#This Row],[TWIST (deg)]]</f>
        <v>#ERROR!</v>
      </c>
      <c r="AG58" s="18" t="str">
        <f>Targets_UW[[#This Row],[AWA+Leeway Top]]-Targets_UW[[#This Row],[CA6]]</f>
        <v>#ERROR!</v>
      </c>
      <c r="AH58" s="19" t="str">
        <f>Targets_UW[[#This Row],[AWA+Leeway]]-Targets_UW[[#This Row],[JibLead (deg)]]</f>
        <v>#ERROR!</v>
      </c>
    </row>
    <row r="59" ht="14.25" customHeight="1">
      <c r="A59" s="20" t="s">
        <v>39</v>
      </c>
      <c r="B59" s="21" t="s">
        <v>35</v>
      </c>
      <c r="C59" s="21" t="s">
        <v>37</v>
      </c>
      <c r="D59" s="21">
        <v>24.0</v>
      </c>
      <c r="E59" s="21" t="str">
        <f t="shared" si="1"/>
        <v>H2_HSB2_LARW2-24m</v>
      </c>
      <c r="F59" s="21">
        <v>9.0</v>
      </c>
      <c r="G59" s="19" t="str">
        <f>ABS(Targets_UW[[#This Row],[BSP (km/h)]]*COS(RADIANS(Targets_UW[[#This Row],[TWA (deg)]]+Targets_UW[[#This Row],[LEEWAY (deg)]])))</f>
        <v>#ERROR!</v>
      </c>
      <c r="H59" s="19">
        <v>13.5</v>
      </c>
      <c r="I59" s="19">
        <v>46.0</v>
      </c>
      <c r="J59" s="19">
        <v>3.5</v>
      </c>
      <c r="K59" s="19">
        <v>2.5999999999999996</v>
      </c>
      <c r="L59" s="19">
        <v>-1.4</v>
      </c>
      <c r="M59" s="19" t="str">
        <f>Targets_UW[[#This Row],[CANT (deg)]]-Targets_UW[[#This Row],[HEEL (deg)]]</f>
        <v>#ERROR!</v>
      </c>
      <c r="N59" s="19"/>
      <c r="O59" s="19">
        <v>0.0</v>
      </c>
      <c r="P59" s="19">
        <v>2.7</v>
      </c>
      <c r="Q59" s="19">
        <v>-0.1</v>
      </c>
      <c r="R59" s="19">
        <v>-29.0</v>
      </c>
      <c r="S59" s="19" t="str">
        <f>Targets_UW[[#This Row],[CLEW (deg)]]-0.5*Targets_UW[[#This Row],[CA1 (deg)]]</f>
        <v>#ERROR!</v>
      </c>
      <c r="T59" s="19">
        <v>0.0</v>
      </c>
      <c r="U59" s="19">
        <v>6.0</v>
      </c>
      <c r="V59" s="19">
        <v>70.0</v>
      </c>
      <c r="W59" s="19">
        <v>6.8</v>
      </c>
      <c r="X59" s="19">
        <v>200.0</v>
      </c>
      <c r="Y59" s="19" t="str">
        <f>SQRT(Targets_UW[[#This Row],[TWS (km/h)]]^2+Targets_UW[[#This Row],[BSP (km/h)]]^2+2*Targets_UW[[#This Row],[TWS (km/h)]]*Targets_UW[[#This Row],[BSP (km/h)]]*COS(RADIANS(Targets_UW[[#This Row],[TWA (deg)]]+Targets_UW[[#This Row],[LEEWAY (deg)]])))</f>
        <v>#ERROR!</v>
      </c>
      <c r="Z59" s="19" t="str">
        <f>DEGREES(ASIN(Targets_UW[[#This Row],[TWS (km/h)]]*SIN(RADIANS(Targets_UW[[#This Row],[TWA (deg)]]+Targets_UW[[#This Row],[LEEWAY (deg)]]))/Targets_UW[[#This Row],[AWS]]))</f>
        <v>#ERROR!</v>
      </c>
      <c r="AA59" s="19" t="str">
        <f>Targets_UW[[#This Row],[AWA+Leeway]]-Targets_UW[[#This Row],[ROT (deg)]]</f>
        <v>#ERROR!</v>
      </c>
      <c r="AB59" s="19" t="str">
        <f>Targets_UW[[#This Row],[TWS (km/h)]]*(Targets_UW[[#This Row],[Wing]]/10)^0.1</f>
        <v>#ERROR!</v>
      </c>
      <c r="AC59" s="19" t="str">
        <f>SQRT(Targets_UW[[#This Row],[TWSTop]]^2+Targets_UW[[#This Row],[BSP (km/h)]]^2+2*Targets_UW[[#This Row],[BSP (km/h)]]*Targets_UW[[#This Row],[TWSTop]]*COS(RADIANS(Targets_UW[[#This Row],[TWA (deg)]]+Targets_UW[[#This Row],[LEEWAY (deg)]])))</f>
        <v>#ERROR!</v>
      </c>
      <c r="AD59" s="19" t="str">
        <f>DEGREES(ASIN(Targets_UW[[#This Row],[TWSTop]]*SIN(RADIANS(Targets_UW[[#This Row],[TWA (deg)]]+Targets_UW[[#This Row],[LEEWAY (deg)]]))/Targets_UW[[#This Row],[AWSTop]]))</f>
        <v>#ERROR!</v>
      </c>
      <c r="AE59" s="19" t="str">
        <f>Targets_UW[[#This Row],[AWA+Leeway Top]]-Targets_UW[[#This Row],[ROT (deg)]]</f>
        <v>#ERROR!</v>
      </c>
      <c r="AF59" s="19" t="str">
        <f>Targets_UW[[#This Row],[CLEW (deg)]]+Targets_UW[[#This Row],[TWIST (deg)]]</f>
        <v>#ERROR!</v>
      </c>
      <c r="AG59" s="22" t="str">
        <f>Targets_UW[[#This Row],[AWA+Leeway Top]]-Targets_UW[[#This Row],[CA6]]</f>
        <v>#ERROR!</v>
      </c>
      <c r="AH59" s="19" t="str">
        <f>Targets_UW[[#This Row],[AWA+Leeway]]-Targets_UW[[#This Row],[JibLead (deg)]]</f>
        <v>#ERROR!</v>
      </c>
    </row>
    <row r="60" ht="14.25" customHeight="1">
      <c r="A60" s="20" t="s">
        <v>39</v>
      </c>
      <c r="B60" s="21" t="s">
        <v>35</v>
      </c>
      <c r="C60" s="21" t="s">
        <v>37</v>
      </c>
      <c r="D60" s="21">
        <v>24.0</v>
      </c>
      <c r="E60" s="21" t="str">
        <f t="shared" si="1"/>
        <v>H2_HSB2_LARW2-24m</v>
      </c>
      <c r="F60" s="21">
        <v>11.0</v>
      </c>
      <c r="G60" s="19" t="str">
        <f>ABS(Targets_UW[[#This Row],[BSP (km/h)]]*COS(RADIANS(Targets_UW[[#This Row],[TWA (deg)]]+Targets_UW[[#This Row],[LEEWAY (deg)]])))</f>
        <v>#ERROR!</v>
      </c>
      <c r="H60" s="19">
        <v>15.0</v>
      </c>
      <c r="I60" s="19">
        <v>45.0</v>
      </c>
      <c r="J60" s="19">
        <v>3.5</v>
      </c>
      <c r="K60" s="19">
        <v>2.0</v>
      </c>
      <c r="L60" s="19">
        <v>-2.0</v>
      </c>
      <c r="M60" s="19" t="str">
        <f>Targets_UW[[#This Row],[CANT (deg)]]-Targets_UW[[#This Row],[HEEL (deg)]]</f>
        <v>#ERROR!</v>
      </c>
      <c r="N60" s="19"/>
      <c r="O60" s="19">
        <v>0.0</v>
      </c>
      <c r="P60" s="19">
        <v>2.7</v>
      </c>
      <c r="Q60" s="19">
        <v>-0.1</v>
      </c>
      <c r="R60" s="19">
        <v>-29.0</v>
      </c>
      <c r="S60" s="19" t="str">
        <f>Targets_UW[[#This Row],[CLEW (deg)]]-0.5*Targets_UW[[#This Row],[CA1 (deg)]]</f>
        <v>#ERROR!</v>
      </c>
      <c r="T60" s="19">
        <v>0.0</v>
      </c>
      <c r="U60" s="19">
        <v>6.5</v>
      </c>
      <c r="V60" s="19">
        <v>100.0</v>
      </c>
      <c r="W60" s="19">
        <v>7.6</v>
      </c>
      <c r="X60" s="19">
        <v>300.0</v>
      </c>
      <c r="Y60" s="19" t="str">
        <f>SQRT(Targets_UW[[#This Row],[TWS (km/h)]]^2+Targets_UW[[#This Row],[BSP (km/h)]]^2+2*Targets_UW[[#This Row],[TWS (km/h)]]*Targets_UW[[#This Row],[BSP (km/h)]]*COS(RADIANS(Targets_UW[[#This Row],[TWA (deg)]]+Targets_UW[[#This Row],[LEEWAY (deg)]])))</f>
        <v>#ERROR!</v>
      </c>
      <c r="Z60" s="19" t="str">
        <f>DEGREES(ASIN(Targets_UW[[#This Row],[TWS (km/h)]]*SIN(RADIANS(Targets_UW[[#This Row],[TWA (deg)]]+Targets_UW[[#This Row],[LEEWAY (deg)]]))/Targets_UW[[#This Row],[AWS]]))</f>
        <v>#ERROR!</v>
      </c>
      <c r="AA60" s="19" t="str">
        <f>Targets_UW[[#This Row],[AWA+Leeway]]-Targets_UW[[#This Row],[ROT (deg)]]</f>
        <v>#ERROR!</v>
      </c>
      <c r="AB60" s="19" t="str">
        <f>Targets_UW[[#This Row],[TWS (km/h)]]*(Targets_UW[[#This Row],[Wing]]/10)^0.1</f>
        <v>#ERROR!</v>
      </c>
      <c r="AC60" s="19" t="str">
        <f>SQRT(Targets_UW[[#This Row],[TWSTop]]^2+Targets_UW[[#This Row],[BSP (km/h)]]^2+2*Targets_UW[[#This Row],[BSP (km/h)]]*Targets_UW[[#This Row],[TWSTop]]*COS(RADIANS(Targets_UW[[#This Row],[TWA (deg)]]+Targets_UW[[#This Row],[LEEWAY (deg)]])))</f>
        <v>#ERROR!</v>
      </c>
      <c r="AD60" s="19" t="str">
        <f>DEGREES(ASIN(Targets_UW[[#This Row],[TWSTop]]*SIN(RADIANS(Targets_UW[[#This Row],[TWA (deg)]]+Targets_UW[[#This Row],[LEEWAY (deg)]]))/Targets_UW[[#This Row],[AWSTop]]))</f>
        <v>#ERROR!</v>
      </c>
      <c r="AE60" s="19" t="str">
        <f>Targets_UW[[#This Row],[AWA+Leeway Top]]-Targets_UW[[#This Row],[ROT (deg)]]</f>
        <v>#ERROR!</v>
      </c>
      <c r="AF60" s="19" t="str">
        <f>Targets_UW[[#This Row],[CLEW (deg)]]+Targets_UW[[#This Row],[TWIST (deg)]]</f>
        <v>#ERROR!</v>
      </c>
      <c r="AG60" s="22" t="str">
        <f>Targets_UW[[#This Row],[AWA+Leeway Top]]-Targets_UW[[#This Row],[CA6]]</f>
        <v>#ERROR!</v>
      </c>
      <c r="AH60" s="19" t="str">
        <f>Targets_UW[[#This Row],[AWA+Leeway]]-Targets_UW[[#This Row],[JibLead (deg)]]</f>
        <v>#ERROR!</v>
      </c>
    </row>
    <row r="61" ht="14.25" customHeight="1">
      <c r="A61" s="20" t="s">
        <v>39</v>
      </c>
      <c r="B61" s="21" t="s">
        <v>35</v>
      </c>
      <c r="C61" s="21" t="s">
        <v>37</v>
      </c>
      <c r="D61" s="21">
        <v>24.0</v>
      </c>
      <c r="E61" s="21" t="str">
        <f t="shared" si="1"/>
        <v>H2_HSB2_LARW2-24m</v>
      </c>
      <c r="F61" s="21">
        <v>13.0</v>
      </c>
      <c r="G61" s="19" t="str">
        <f>ABS(Targets_UW[[#This Row],[BSP (km/h)]]*COS(RADIANS(Targets_UW[[#This Row],[TWA (deg)]]+Targets_UW[[#This Row],[LEEWAY (deg)]])))</f>
        <v>#ERROR!</v>
      </c>
      <c r="H61" s="19">
        <v>17.0</v>
      </c>
      <c r="I61" s="19">
        <v>45.0</v>
      </c>
      <c r="J61" s="19">
        <v>3.5</v>
      </c>
      <c r="K61" s="19">
        <v>1.5</v>
      </c>
      <c r="L61" s="19">
        <v>-2.5</v>
      </c>
      <c r="M61" s="19" t="str">
        <f>Targets_UW[[#This Row],[CANT (deg)]]-Targets_UW[[#This Row],[HEEL (deg)]]</f>
        <v>#ERROR!</v>
      </c>
      <c r="N61" s="19"/>
      <c r="O61" s="19">
        <v>0.0</v>
      </c>
      <c r="P61" s="19">
        <v>2.7</v>
      </c>
      <c r="Q61" s="19">
        <v>-0.1</v>
      </c>
      <c r="R61" s="19">
        <v>-29.0</v>
      </c>
      <c r="S61" s="19" t="str">
        <f>Targets_UW[[#This Row],[CLEW (deg)]]-0.5*Targets_UW[[#This Row],[CA1 (deg)]]</f>
        <v>#ERROR!</v>
      </c>
      <c r="T61" s="19">
        <v>0.0</v>
      </c>
      <c r="U61" s="19">
        <v>7.0</v>
      </c>
      <c r="V61" s="19">
        <v>130.0</v>
      </c>
      <c r="W61" s="19">
        <v>8.1</v>
      </c>
      <c r="X61" s="19">
        <v>400.0</v>
      </c>
      <c r="Y61" s="19" t="str">
        <f>SQRT(Targets_UW[[#This Row],[TWS (km/h)]]^2+Targets_UW[[#This Row],[BSP (km/h)]]^2+2*Targets_UW[[#This Row],[TWS (km/h)]]*Targets_UW[[#This Row],[BSP (km/h)]]*COS(RADIANS(Targets_UW[[#This Row],[TWA (deg)]]+Targets_UW[[#This Row],[LEEWAY (deg)]])))</f>
        <v>#ERROR!</v>
      </c>
      <c r="Z61" s="19" t="str">
        <f>DEGREES(ASIN(Targets_UW[[#This Row],[TWS (km/h)]]*SIN(RADIANS(Targets_UW[[#This Row],[TWA (deg)]]+Targets_UW[[#This Row],[LEEWAY (deg)]]))/Targets_UW[[#This Row],[AWS]]))</f>
        <v>#ERROR!</v>
      </c>
      <c r="AA61" s="19" t="str">
        <f>Targets_UW[[#This Row],[AWA+Leeway]]-Targets_UW[[#This Row],[ROT (deg)]]</f>
        <v>#ERROR!</v>
      </c>
      <c r="AB61" s="19" t="str">
        <f>Targets_UW[[#This Row],[TWS (km/h)]]*(Targets_UW[[#This Row],[Wing]]/10)^0.1</f>
        <v>#ERROR!</v>
      </c>
      <c r="AC61" s="19" t="str">
        <f>SQRT(Targets_UW[[#This Row],[TWSTop]]^2+Targets_UW[[#This Row],[BSP (km/h)]]^2+2*Targets_UW[[#This Row],[BSP (km/h)]]*Targets_UW[[#This Row],[TWSTop]]*COS(RADIANS(Targets_UW[[#This Row],[TWA (deg)]]+Targets_UW[[#This Row],[LEEWAY (deg)]])))</f>
        <v>#ERROR!</v>
      </c>
      <c r="AD61" s="19" t="str">
        <f>DEGREES(ASIN(Targets_UW[[#This Row],[TWSTop]]*SIN(RADIANS(Targets_UW[[#This Row],[TWA (deg)]]+Targets_UW[[#This Row],[LEEWAY (deg)]]))/Targets_UW[[#This Row],[AWSTop]]))</f>
        <v>#ERROR!</v>
      </c>
      <c r="AE61" s="19" t="str">
        <f>Targets_UW[[#This Row],[AWA+Leeway Top]]-Targets_UW[[#This Row],[ROT (deg)]]</f>
        <v>#ERROR!</v>
      </c>
      <c r="AF61" s="19" t="str">
        <f>Targets_UW[[#This Row],[CLEW (deg)]]+Targets_UW[[#This Row],[TWIST (deg)]]</f>
        <v>#ERROR!</v>
      </c>
      <c r="AG61" s="22" t="str">
        <f>Targets_UW[[#This Row],[AWA+Leeway Top]]-Targets_UW[[#This Row],[CA6]]</f>
        <v>#ERROR!</v>
      </c>
      <c r="AH61" s="19" t="str">
        <f>Targets_UW[[#This Row],[AWA+Leeway]]-Targets_UW[[#This Row],[JibLead (deg)]]</f>
        <v>#ERROR!</v>
      </c>
    </row>
    <row r="62" ht="14.25" customHeight="1">
      <c r="A62" s="23" t="s">
        <v>40</v>
      </c>
      <c r="B62" s="24" t="s">
        <v>35</v>
      </c>
      <c r="C62" s="24" t="s">
        <v>37</v>
      </c>
      <c r="D62" s="24">
        <v>24.0</v>
      </c>
      <c r="E62" s="24" t="str">
        <f t="shared" si="1"/>
        <v>H1-2B_HSB2_LARW2-24m</v>
      </c>
      <c r="F62" s="24">
        <v>10.0</v>
      </c>
      <c r="G62" s="25" t="str">
        <f>ABS(Targets_UW[[#This Row],[BSP (km/h)]]*COS(RADIANS(Targets_UW[[#This Row],[TWA (deg)]]+Targets_UW[[#This Row],[LEEWAY (deg)]])))</f>
        <v>#ERROR!</v>
      </c>
      <c r="H62" s="25">
        <v>17.0</v>
      </c>
      <c r="I62" s="25">
        <v>57.0</v>
      </c>
      <c r="J62" s="25">
        <v>4.5</v>
      </c>
      <c r="K62" s="25">
        <v>0.0</v>
      </c>
      <c r="L62" s="25">
        <v>-9.0</v>
      </c>
      <c r="M62" s="25" t="str">
        <f>Targets_UW[[#This Row],[CANT (deg)]]-Targets_UW[[#This Row],[HEEL (deg)]]</f>
        <v>#ERROR!</v>
      </c>
      <c r="N62" s="25"/>
      <c r="O62" s="25">
        <v>0.0</v>
      </c>
      <c r="P62" s="25">
        <v>3.3</v>
      </c>
      <c r="Q62" s="25">
        <v>-0.5</v>
      </c>
      <c r="R62" s="25">
        <v>-32.0</v>
      </c>
      <c r="S62" s="25" t="str">
        <f>Targets_UW[[#This Row],[CLEW (deg)]]-0.5*Targets_UW[[#This Row],[CA1 (deg)]]</f>
        <v>#ERROR!</v>
      </c>
      <c r="T62" s="25">
        <v>-4.0</v>
      </c>
      <c r="U62" s="25">
        <v>8.9</v>
      </c>
      <c r="V62" s="25">
        <v>90.0</v>
      </c>
      <c r="W62" s="25">
        <v>9.0</v>
      </c>
      <c r="X62" s="25">
        <v>280.0</v>
      </c>
      <c r="Y62" s="25" t="str">
        <f>SQRT(Targets_UW[[#This Row],[TWS (km/h)]]^2+Targets_UW[[#This Row],[BSP (km/h)]]^2+2*Targets_UW[[#This Row],[TWS (km/h)]]*Targets_UW[[#This Row],[BSP (km/h)]]*COS(RADIANS(Targets_UW[[#This Row],[TWA (deg)]]+Targets_UW[[#This Row],[LEEWAY (deg)]])))</f>
        <v>#ERROR!</v>
      </c>
      <c r="Z62" s="25" t="str">
        <f>DEGREES(ASIN(Targets_UW[[#This Row],[TWS (km/h)]]*SIN(RADIANS(Targets_UW[[#This Row],[TWA (deg)]]+Targets_UW[[#This Row],[LEEWAY (deg)]]))/Targets_UW[[#This Row],[AWS]]))</f>
        <v>#ERROR!</v>
      </c>
      <c r="AA62" s="25" t="str">
        <f>Targets_UW[[#This Row],[AWA+Leeway]]-Targets_UW[[#This Row],[ROT (deg)]]</f>
        <v>#ERROR!</v>
      </c>
      <c r="AB62" s="25" t="str">
        <f>Targets_UW[[#This Row],[TWS (km/h)]]*(Targets_UW[[#This Row],[Wing]]/10)^0.1</f>
        <v>#ERROR!</v>
      </c>
      <c r="AC62" s="25" t="str">
        <f>SQRT(Targets_UW[[#This Row],[TWSTop]]^2+Targets_UW[[#This Row],[BSP (km/h)]]^2+2*Targets_UW[[#This Row],[BSP (km/h)]]*Targets_UW[[#This Row],[TWSTop]]*COS(RADIANS(Targets_UW[[#This Row],[TWA (deg)]]+Targets_UW[[#This Row],[LEEWAY (deg)]])))</f>
        <v>#ERROR!</v>
      </c>
      <c r="AD62" s="25" t="str">
        <f>DEGREES(ASIN(Targets_UW[[#This Row],[TWSTop]]*SIN(RADIANS(Targets_UW[[#This Row],[TWA (deg)]]+Targets_UW[[#This Row],[LEEWAY (deg)]]))/Targets_UW[[#This Row],[AWSTop]]))</f>
        <v>#ERROR!</v>
      </c>
      <c r="AE62" s="25" t="str">
        <f>Targets_UW[[#This Row],[AWA+Leeway Top]]-Targets_UW[[#This Row],[ROT (deg)]]</f>
        <v>#ERROR!</v>
      </c>
      <c r="AF62" s="25" t="str">
        <f>Targets_UW[[#This Row],[CLEW (deg)]]+Targets_UW[[#This Row],[TWIST (deg)]]</f>
        <v>#ERROR!</v>
      </c>
      <c r="AG62" s="26" t="str">
        <f>Targets_UW[[#This Row],[AWA+Leeway Top]]-Targets_UW[[#This Row],[CA6]]</f>
        <v>#ERROR!</v>
      </c>
      <c r="AH62" s="25" t="str">
        <f>Targets_UW[[#This Row],[AWA+Leeway]]-Targets_UW[[#This Row],[JibLead (deg)]]</f>
        <v>#ERROR!</v>
      </c>
    </row>
    <row r="63" ht="14.25" customHeight="1">
      <c r="A63" s="23" t="s">
        <v>40</v>
      </c>
      <c r="B63" s="24" t="s">
        <v>35</v>
      </c>
      <c r="C63" s="24" t="s">
        <v>37</v>
      </c>
      <c r="D63" s="24">
        <v>24.0</v>
      </c>
      <c r="E63" s="24" t="str">
        <f t="shared" si="1"/>
        <v>H1-2B_HSB2_LARW2-24m</v>
      </c>
      <c r="F63" s="24">
        <v>11.0</v>
      </c>
      <c r="G63" s="25" t="str">
        <f>ABS(Targets_UW[[#This Row],[BSP (km/h)]]*COS(RADIANS(Targets_UW[[#This Row],[TWA (deg)]]+Targets_UW[[#This Row],[LEEWAY (deg)]])))</f>
        <v>#ERROR!</v>
      </c>
      <c r="H63" s="25">
        <v>17.5</v>
      </c>
      <c r="I63" s="25">
        <v>52.0</v>
      </c>
      <c r="J63" s="25">
        <v>4.5</v>
      </c>
      <c r="K63" s="25">
        <v>0.0</v>
      </c>
      <c r="L63" s="25">
        <v>-9.0</v>
      </c>
      <c r="M63" s="25" t="str">
        <f>Targets_UW[[#This Row],[CANT (deg)]]-Targets_UW[[#This Row],[HEEL (deg)]]</f>
        <v>#ERROR!</v>
      </c>
      <c r="N63" s="25"/>
      <c r="O63" s="25">
        <v>0.0</v>
      </c>
      <c r="P63" s="25">
        <v>3.3</v>
      </c>
      <c r="Q63" s="25">
        <v>-0.5</v>
      </c>
      <c r="R63" s="25">
        <v>-31.0</v>
      </c>
      <c r="S63" s="25" t="str">
        <f>Targets_UW[[#This Row],[CLEW (deg)]]-0.5*Targets_UW[[#This Row],[CA1 (deg)]]</f>
        <v>#ERROR!</v>
      </c>
      <c r="T63" s="25">
        <v>-4.0</v>
      </c>
      <c r="U63" s="25">
        <v>8.0</v>
      </c>
      <c r="V63" s="25">
        <v>120.0</v>
      </c>
      <c r="W63" s="25">
        <v>8.3</v>
      </c>
      <c r="X63" s="25">
        <v>350.0</v>
      </c>
      <c r="Y63" s="25" t="str">
        <f>SQRT(Targets_UW[[#This Row],[TWS (km/h)]]^2+Targets_UW[[#This Row],[BSP (km/h)]]^2+2*Targets_UW[[#This Row],[TWS (km/h)]]*Targets_UW[[#This Row],[BSP (km/h)]]*COS(RADIANS(Targets_UW[[#This Row],[TWA (deg)]]+Targets_UW[[#This Row],[LEEWAY (deg)]])))</f>
        <v>#ERROR!</v>
      </c>
      <c r="Z63" s="25" t="str">
        <f>DEGREES(ASIN(Targets_UW[[#This Row],[TWS (km/h)]]*SIN(RADIANS(Targets_UW[[#This Row],[TWA (deg)]]+Targets_UW[[#This Row],[LEEWAY (deg)]]))/Targets_UW[[#This Row],[AWS]]))</f>
        <v>#ERROR!</v>
      </c>
      <c r="AA63" s="25" t="str">
        <f>Targets_UW[[#This Row],[AWA+Leeway]]-Targets_UW[[#This Row],[ROT (deg)]]</f>
        <v>#ERROR!</v>
      </c>
      <c r="AB63" s="25" t="str">
        <f>Targets_UW[[#This Row],[TWS (km/h)]]*(Targets_UW[[#This Row],[Wing]]/10)^0.1</f>
        <v>#ERROR!</v>
      </c>
      <c r="AC63" s="25" t="str">
        <f>SQRT(Targets_UW[[#This Row],[TWSTop]]^2+Targets_UW[[#This Row],[BSP (km/h)]]^2+2*Targets_UW[[#This Row],[BSP (km/h)]]*Targets_UW[[#This Row],[TWSTop]]*COS(RADIANS(Targets_UW[[#This Row],[TWA (deg)]]+Targets_UW[[#This Row],[LEEWAY (deg)]])))</f>
        <v>#ERROR!</v>
      </c>
      <c r="AD63" s="25" t="str">
        <f>DEGREES(ASIN(Targets_UW[[#This Row],[TWSTop]]*SIN(RADIANS(Targets_UW[[#This Row],[TWA (deg)]]+Targets_UW[[#This Row],[LEEWAY (deg)]]))/Targets_UW[[#This Row],[AWSTop]]))</f>
        <v>#ERROR!</v>
      </c>
      <c r="AE63" s="25" t="str">
        <f>Targets_UW[[#This Row],[AWA+Leeway Top]]-Targets_UW[[#This Row],[ROT (deg)]]</f>
        <v>#ERROR!</v>
      </c>
      <c r="AF63" s="25" t="str">
        <f>Targets_UW[[#This Row],[CLEW (deg)]]+Targets_UW[[#This Row],[TWIST (deg)]]</f>
        <v>#ERROR!</v>
      </c>
      <c r="AG63" s="26" t="str">
        <f>Targets_UW[[#This Row],[AWA+Leeway Top]]-Targets_UW[[#This Row],[CA6]]</f>
        <v>#ERROR!</v>
      </c>
      <c r="AH63" s="25" t="str">
        <f>Targets_UW[[#This Row],[AWA+Leeway]]-Targets_UW[[#This Row],[JibLead (deg)]]</f>
        <v>#ERROR!</v>
      </c>
    </row>
    <row r="64" ht="14.25" customHeight="1">
      <c r="A64" s="23" t="s">
        <v>40</v>
      </c>
      <c r="B64" s="24" t="s">
        <v>35</v>
      </c>
      <c r="C64" s="24" t="s">
        <v>37</v>
      </c>
      <c r="D64" s="24">
        <v>24.0</v>
      </c>
      <c r="E64" s="24" t="str">
        <f t="shared" si="1"/>
        <v>H1-2B_HSB2_LARW2-24m</v>
      </c>
      <c r="F64" s="24">
        <v>12.0</v>
      </c>
      <c r="G64" s="25" t="str">
        <f>ABS(Targets_UW[[#This Row],[BSP (km/h)]]*COS(RADIANS(Targets_UW[[#This Row],[TWA (deg)]]+Targets_UW[[#This Row],[LEEWAY (deg)]])))</f>
        <v>#ERROR!</v>
      </c>
      <c r="H64" s="25">
        <v>18.5</v>
      </c>
      <c r="I64" s="25">
        <v>49.0</v>
      </c>
      <c r="J64" s="25">
        <v>4.5</v>
      </c>
      <c r="K64" s="25">
        <v>0.0</v>
      </c>
      <c r="L64" s="25">
        <v>-9.0</v>
      </c>
      <c r="M64" s="25" t="str">
        <f>Targets_UW[[#This Row],[CANT (deg)]]-Targets_UW[[#This Row],[HEEL (deg)]]</f>
        <v>#ERROR!</v>
      </c>
      <c r="N64" s="25"/>
      <c r="O64" s="25">
        <v>0.0</v>
      </c>
      <c r="P64" s="25">
        <v>3.3</v>
      </c>
      <c r="Q64" s="25">
        <v>-0.5</v>
      </c>
      <c r="R64" s="25">
        <v>-30.0</v>
      </c>
      <c r="S64" s="25" t="str">
        <f>Targets_UW[[#This Row],[CLEW (deg)]]-0.5*Targets_UW[[#This Row],[CA1 (deg)]]</f>
        <v>#ERROR!</v>
      </c>
      <c r="T64" s="25">
        <v>-4.0</v>
      </c>
      <c r="U64" s="25">
        <v>7.3</v>
      </c>
      <c r="V64" s="25">
        <v>130.0</v>
      </c>
      <c r="W64" s="25">
        <v>7.6</v>
      </c>
      <c r="X64" s="25">
        <v>400.0</v>
      </c>
      <c r="Y64" s="25" t="str">
        <f>SQRT(Targets_UW[[#This Row],[TWS (km/h)]]^2+Targets_UW[[#This Row],[BSP (km/h)]]^2+2*Targets_UW[[#This Row],[TWS (km/h)]]*Targets_UW[[#This Row],[BSP (km/h)]]*COS(RADIANS(Targets_UW[[#This Row],[TWA (deg)]]+Targets_UW[[#This Row],[LEEWAY (deg)]])))</f>
        <v>#ERROR!</v>
      </c>
      <c r="Z64" s="25" t="str">
        <f>DEGREES(ASIN(Targets_UW[[#This Row],[TWS (km/h)]]*SIN(RADIANS(Targets_UW[[#This Row],[TWA (deg)]]+Targets_UW[[#This Row],[LEEWAY (deg)]]))/Targets_UW[[#This Row],[AWS]]))</f>
        <v>#ERROR!</v>
      </c>
      <c r="AA64" s="25" t="str">
        <f>Targets_UW[[#This Row],[AWA+Leeway]]-Targets_UW[[#This Row],[ROT (deg)]]</f>
        <v>#ERROR!</v>
      </c>
      <c r="AB64" s="25" t="str">
        <f>Targets_UW[[#This Row],[TWS (km/h)]]*(Targets_UW[[#This Row],[Wing]]/10)^0.1</f>
        <v>#ERROR!</v>
      </c>
      <c r="AC64" s="25" t="str">
        <f>SQRT(Targets_UW[[#This Row],[TWSTop]]^2+Targets_UW[[#This Row],[BSP (km/h)]]^2+2*Targets_UW[[#This Row],[BSP (km/h)]]*Targets_UW[[#This Row],[TWSTop]]*COS(RADIANS(Targets_UW[[#This Row],[TWA (deg)]]+Targets_UW[[#This Row],[LEEWAY (deg)]])))</f>
        <v>#ERROR!</v>
      </c>
      <c r="AD64" s="25" t="str">
        <f>DEGREES(ASIN(Targets_UW[[#This Row],[TWSTop]]*SIN(RADIANS(Targets_UW[[#This Row],[TWA (deg)]]+Targets_UW[[#This Row],[LEEWAY (deg)]]))/Targets_UW[[#This Row],[AWSTop]]))</f>
        <v>#ERROR!</v>
      </c>
      <c r="AE64" s="25" t="str">
        <f>Targets_UW[[#This Row],[AWA+Leeway Top]]-Targets_UW[[#This Row],[ROT (deg)]]</f>
        <v>#ERROR!</v>
      </c>
      <c r="AF64" s="25" t="str">
        <f>Targets_UW[[#This Row],[CLEW (deg)]]+Targets_UW[[#This Row],[TWIST (deg)]]</f>
        <v>#ERROR!</v>
      </c>
      <c r="AG64" s="26" t="str">
        <f>Targets_UW[[#This Row],[AWA+Leeway Top]]-Targets_UW[[#This Row],[CA6]]</f>
        <v>#ERROR!</v>
      </c>
      <c r="AH64" s="25" t="str">
        <f>Targets_UW[[#This Row],[AWA+Leeway]]-Targets_UW[[#This Row],[JibLead (deg)]]</f>
        <v>#ERROR!</v>
      </c>
    </row>
    <row r="65" ht="14.25" customHeight="1">
      <c r="A65" s="23" t="s">
        <v>40</v>
      </c>
      <c r="B65" s="24" t="s">
        <v>35</v>
      </c>
      <c r="C65" s="24" t="s">
        <v>37</v>
      </c>
      <c r="D65" s="24">
        <v>24.0</v>
      </c>
      <c r="E65" s="24" t="str">
        <f t="shared" si="1"/>
        <v>H1-2B_HSB2_LARW2-24m</v>
      </c>
      <c r="F65" s="24">
        <v>13.0</v>
      </c>
      <c r="G65" s="25" t="str">
        <f>ABS(Targets_UW[[#This Row],[BSP (km/h)]]*COS(RADIANS(Targets_UW[[#This Row],[TWA (deg)]]+Targets_UW[[#This Row],[LEEWAY (deg)]])))</f>
        <v>#ERROR!</v>
      </c>
      <c r="H65" s="25">
        <v>19.5</v>
      </c>
      <c r="I65" s="25">
        <v>48.0</v>
      </c>
      <c r="J65" s="25">
        <v>4.5</v>
      </c>
      <c r="K65" s="25">
        <v>0.0</v>
      </c>
      <c r="L65" s="25">
        <v>-9.0</v>
      </c>
      <c r="M65" s="25" t="str">
        <f>Targets_UW[[#This Row],[CANT (deg)]]-Targets_UW[[#This Row],[HEEL (deg)]]</f>
        <v>#ERROR!</v>
      </c>
      <c r="N65" s="25"/>
      <c r="O65" s="25">
        <v>0.0</v>
      </c>
      <c r="P65" s="25">
        <v>3.3</v>
      </c>
      <c r="Q65" s="25">
        <v>-0.5</v>
      </c>
      <c r="R65" s="25">
        <v>-30.0</v>
      </c>
      <c r="S65" s="25" t="str">
        <f>Targets_UW[[#This Row],[CLEW (deg)]]-0.5*Targets_UW[[#This Row],[CA1 (deg)]]</f>
        <v>#ERROR!</v>
      </c>
      <c r="T65" s="25">
        <v>-4.0</v>
      </c>
      <c r="U65" s="25">
        <v>7.3</v>
      </c>
      <c r="V65" s="25">
        <v>160.0</v>
      </c>
      <c r="W65" s="25">
        <v>7.6</v>
      </c>
      <c r="X65" s="25">
        <v>440.0</v>
      </c>
      <c r="Y65" s="25" t="str">
        <f>SQRT(Targets_UW[[#This Row],[TWS (km/h)]]^2+Targets_UW[[#This Row],[BSP (km/h)]]^2+2*Targets_UW[[#This Row],[TWS (km/h)]]*Targets_UW[[#This Row],[BSP (km/h)]]*COS(RADIANS(Targets_UW[[#This Row],[TWA (deg)]]+Targets_UW[[#This Row],[LEEWAY (deg)]])))</f>
        <v>#ERROR!</v>
      </c>
      <c r="Z65" s="25" t="str">
        <f>DEGREES(ASIN(Targets_UW[[#This Row],[TWS (km/h)]]*SIN(RADIANS(Targets_UW[[#This Row],[TWA (deg)]]+Targets_UW[[#This Row],[LEEWAY (deg)]]))/Targets_UW[[#This Row],[AWS]]))</f>
        <v>#ERROR!</v>
      </c>
      <c r="AA65" s="25" t="str">
        <f>Targets_UW[[#This Row],[AWA+Leeway]]-Targets_UW[[#This Row],[ROT (deg)]]</f>
        <v>#ERROR!</v>
      </c>
      <c r="AB65" s="25" t="str">
        <f>Targets_UW[[#This Row],[TWS (km/h)]]*(Targets_UW[[#This Row],[Wing]]/10)^0.1</f>
        <v>#ERROR!</v>
      </c>
      <c r="AC65" s="25" t="str">
        <f>SQRT(Targets_UW[[#This Row],[TWSTop]]^2+Targets_UW[[#This Row],[BSP (km/h)]]^2+2*Targets_UW[[#This Row],[BSP (km/h)]]*Targets_UW[[#This Row],[TWSTop]]*COS(RADIANS(Targets_UW[[#This Row],[TWA (deg)]]+Targets_UW[[#This Row],[LEEWAY (deg)]])))</f>
        <v>#ERROR!</v>
      </c>
      <c r="AD65" s="25" t="str">
        <f>DEGREES(ASIN(Targets_UW[[#This Row],[TWSTop]]*SIN(RADIANS(Targets_UW[[#This Row],[TWA (deg)]]+Targets_UW[[#This Row],[LEEWAY (deg)]]))/Targets_UW[[#This Row],[AWSTop]]))</f>
        <v>#ERROR!</v>
      </c>
      <c r="AE65" s="25" t="str">
        <f>Targets_UW[[#This Row],[AWA+Leeway Top]]-Targets_UW[[#This Row],[ROT (deg)]]</f>
        <v>#ERROR!</v>
      </c>
      <c r="AF65" s="25" t="str">
        <f>Targets_UW[[#This Row],[CLEW (deg)]]+Targets_UW[[#This Row],[TWIST (deg)]]</f>
        <v>#ERROR!</v>
      </c>
      <c r="AG65" s="26" t="str">
        <f>Targets_UW[[#This Row],[AWA+Leeway Top]]-Targets_UW[[#This Row],[CA6]]</f>
        <v>#ERROR!</v>
      </c>
      <c r="AH65" s="25" t="str">
        <f>Targets_UW[[#This Row],[AWA+Leeway]]-Targets_UW[[#This Row],[JibLead (deg)]]</f>
        <v>#ERROR!</v>
      </c>
    </row>
    <row r="66" ht="14.25" customHeight="1">
      <c r="A66" s="27" t="s">
        <v>41</v>
      </c>
      <c r="B66" s="28" t="s">
        <v>35</v>
      </c>
      <c r="C66" s="28" t="s">
        <v>37</v>
      </c>
      <c r="D66" s="28">
        <v>24.0</v>
      </c>
      <c r="E66" s="28" t="str">
        <f t="shared" si="1"/>
        <v>H1_HSB2_LARW2-24m</v>
      </c>
      <c r="F66" s="28">
        <v>12.0</v>
      </c>
      <c r="G66" s="29" t="str">
        <f>ABS(Targets_UW[[#This Row],[BSP (km/h)]]*COS(RADIANS(Targets_UW[[#This Row],[TWA (deg)]]+Targets_UW[[#This Row],[LEEWAY (deg)]])))</f>
        <v>#ERROR!</v>
      </c>
      <c r="H66" s="29">
        <v>21.5</v>
      </c>
      <c r="I66" s="29">
        <v>55.0</v>
      </c>
      <c r="J66" s="29">
        <v>3.0</v>
      </c>
      <c r="K66" s="29">
        <v>0.0</v>
      </c>
      <c r="L66" s="29">
        <v>-9.0</v>
      </c>
      <c r="M66" s="29" t="str">
        <f>Targets_UW[[#This Row],[CANT (deg)]]-Targets_UW[[#This Row],[HEEL (deg)]]</f>
        <v>#ERROR!</v>
      </c>
      <c r="N66" s="29"/>
      <c r="O66" s="29">
        <v>0.0</v>
      </c>
      <c r="P66" s="29">
        <v>2.8</v>
      </c>
      <c r="Q66" s="29">
        <v>-0.8</v>
      </c>
      <c r="R66" s="29">
        <v>-28.5</v>
      </c>
      <c r="S66" s="29" t="str">
        <f>Targets_UW[[#This Row],[CLEW (deg)]]-0.5*Targets_UW[[#This Row],[CA1 (deg)]]</f>
        <v>#ERROR!</v>
      </c>
      <c r="T66" s="29">
        <v>-4.0</v>
      </c>
      <c r="U66" s="29">
        <v>7.0</v>
      </c>
      <c r="V66" s="29">
        <v>160.0</v>
      </c>
      <c r="W66" s="29">
        <v>7.6</v>
      </c>
      <c r="X66" s="29">
        <v>450.0</v>
      </c>
      <c r="Y66" s="29" t="str">
        <f>SQRT(Targets_UW[[#This Row],[TWS (km/h)]]^2+Targets_UW[[#This Row],[BSP (km/h)]]^2+2*Targets_UW[[#This Row],[TWS (km/h)]]*Targets_UW[[#This Row],[BSP (km/h)]]*COS(RADIANS(Targets_UW[[#This Row],[TWA (deg)]]+Targets_UW[[#This Row],[LEEWAY (deg)]])))</f>
        <v>#ERROR!</v>
      </c>
      <c r="Z66" s="29" t="str">
        <f>DEGREES(ASIN(Targets_UW[[#This Row],[TWS (km/h)]]*SIN(RADIANS(Targets_UW[[#This Row],[TWA (deg)]]+Targets_UW[[#This Row],[LEEWAY (deg)]]))/Targets_UW[[#This Row],[AWS]]))</f>
        <v>#ERROR!</v>
      </c>
      <c r="AA66" s="29" t="str">
        <f>Targets_UW[[#This Row],[AWA+Leeway]]-Targets_UW[[#This Row],[ROT (deg)]]</f>
        <v>#ERROR!</v>
      </c>
      <c r="AB66" s="29" t="str">
        <f>Targets_UW[[#This Row],[TWS (km/h)]]*(Targets_UW[[#This Row],[Wing]]/10)^0.1</f>
        <v>#ERROR!</v>
      </c>
      <c r="AC66" s="29" t="str">
        <f>SQRT(Targets_UW[[#This Row],[TWSTop]]^2+Targets_UW[[#This Row],[BSP (km/h)]]^2+2*Targets_UW[[#This Row],[BSP (km/h)]]*Targets_UW[[#This Row],[TWSTop]]*COS(RADIANS(Targets_UW[[#This Row],[TWA (deg)]]+Targets_UW[[#This Row],[LEEWAY (deg)]])))</f>
        <v>#ERROR!</v>
      </c>
      <c r="AD66" s="29" t="str">
        <f>DEGREES(ASIN(Targets_UW[[#This Row],[TWSTop]]*SIN(RADIANS(Targets_UW[[#This Row],[TWA (deg)]]+Targets_UW[[#This Row],[LEEWAY (deg)]]))/Targets_UW[[#This Row],[AWSTop]]))</f>
        <v>#ERROR!</v>
      </c>
      <c r="AE66" s="29" t="str">
        <f>Targets_UW[[#This Row],[AWA+Leeway Top]]-Targets_UW[[#This Row],[ROT (deg)]]</f>
        <v>#ERROR!</v>
      </c>
      <c r="AF66" s="29" t="str">
        <f>Targets_UW[[#This Row],[CLEW (deg)]]+Targets_UW[[#This Row],[TWIST (deg)]]</f>
        <v>#ERROR!</v>
      </c>
      <c r="AG66" s="30" t="str">
        <f>Targets_UW[[#This Row],[AWA+Leeway Top]]-Targets_UW[[#This Row],[CA6]]</f>
        <v>#ERROR!</v>
      </c>
      <c r="AH66" s="29" t="str">
        <f>Targets_UW[[#This Row],[AWA+Leeway]]-Targets_UW[[#This Row],[JibLead (deg)]]</f>
        <v>#ERROR!</v>
      </c>
    </row>
    <row r="67" ht="14.25" customHeight="1">
      <c r="A67" s="27" t="s">
        <v>41</v>
      </c>
      <c r="B67" s="28" t="s">
        <v>35</v>
      </c>
      <c r="C67" s="28" t="s">
        <v>37</v>
      </c>
      <c r="D67" s="28">
        <v>24.0</v>
      </c>
      <c r="E67" s="28" t="str">
        <f t="shared" si="1"/>
        <v>H1_HSB2_LARW2-24m</v>
      </c>
      <c r="F67" s="28">
        <v>13.0</v>
      </c>
      <c r="G67" s="29" t="str">
        <f>ABS(Targets_UW[[#This Row],[BSP (km/h)]]*COS(RADIANS(Targets_UW[[#This Row],[TWA (deg)]]+Targets_UW[[#This Row],[LEEWAY (deg)]])))</f>
        <v>#ERROR!</v>
      </c>
      <c r="H67" s="29">
        <v>23.0</v>
      </c>
      <c r="I67" s="29">
        <v>53.0</v>
      </c>
      <c r="J67" s="29">
        <v>3.0</v>
      </c>
      <c r="K67" s="29">
        <v>2.0</v>
      </c>
      <c r="L67" s="29">
        <v>-9.0</v>
      </c>
      <c r="M67" s="29" t="str">
        <f>Targets_UW[[#This Row],[CANT (deg)]]-Targets_UW[[#This Row],[HEEL (deg)]]</f>
        <v>#ERROR!</v>
      </c>
      <c r="N67" s="29"/>
      <c r="O67" s="29">
        <v>0.0</v>
      </c>
      <c r="P67" s="29">
        <v>2.8</v>
      </c>
      <c r="Q67" s="29">
        <v>-0.8</v>
      </c>
      <c r="R67" s="29">
        <v>-27.5</v>
      </c>
      <c r="S67" s="29" t="str">
        <f>Targets_UW[[#This Row],[CLEW (deg)]]-0.5*Targets_UW[[#This Row],[CA1 (deg)]]</f>
        <v>#ERROR!</v>
      </c>
      <c r="T67" s="29">
        <v>-4.0</v>
      </c>
      <c r="U67" s="29">
        <v>10.0</v>
      </c>
      <c r="V67" s="29">
        <v>180.0</v>
      </c>
      <c r="W67" s="29">
        <v>7.1</v>
      </c>
      <c r="X67" s="29">
        <v>550.0</v>
      </c>
      <c r="Y67" s="29" t="str">
        <f>SQRT(Targets_UW[[#This Row],[TWS (km/h)]]^2+Targets_UW[[#This Row],[BSP (km/h)]]^2+2*Targets_UW[[#This Row],[TWS (km/h)]]*Targets_UW[[#This Row],[BSP (km/h)]]*COS(RADIANS(Targets_UW[[#This Row],[TWA (deg)]]+Targets_UW[[#This Row],[LEEWAY (deg)]])))</f>
        <v>#ERROR!</v>
      </c>
      <c r="Z67" s="29" t="str">
        <f>DEGREES(ASIN(Targets_UW[[#This Row],[TWS (km/h)]]*SIN(RADIANS(Targets_UW[[#This Row],[TWA (deg)]]+Targets_UW[[#This Row],[LEEWAY (deg)]]))/Targets_UW[[#This Row],[AWS]]))</f>
        <v>#ERROR!</v>
      </c>
      <c r="AA67" s="29" t="str">
        <f>Targets_UW[[#This Row],[AWA+Leeway]]-Targets_UW[[#This Row],[ROT (deg)]]</f>
        <v>#ERROR!</v>
      </c>
      <c r="AB67" s="29" t="str">
        <f>Targets_UW[[#This Row],[TWS (km/h)]]*(Targets_UW[[#This Row],[Wing]]/10)^0.1</f>
        <v>#ERROR!</v>
      </c>
      <c r="AC67" s="29" t="str">
        <f>SQRT(Targets_UW[[#This Row],[TWSTop]]^2+Targets_UW[[#This Row],[BSP (km/h)]]^2+2*Targets_UW[[#This Row],[BSP (km/h)]]*Targets_UW[[#This Row],[TWSTop]]*COS(RADIANS(Targets_UW[[#This Row],[TWA (deg)]]+Targets_UW[[#This Row],[LEEWAY (deg)]])))</f>
        <v>#ERROR!</v>
      </c>
      <c r="AD67" s="29" t="str">
        <f>DEGREES(ASIN(Targets_UW[[#This Row],[TWSTop]]*SIN(RADIANS(Targets_UW[[#This Row],[TWA (deg)]]+Targets_UW[[#This Row],[LEEWAY (deg)]]))/Targets_UW[[#This Row],[AWSTop]]))</f>
        <v>#ERROR!</v>
      </c>
      <c r="AE67" s="29" t="str">
        <f>Targets_UW[[#This Row],[AWA+Leeway Top]]-Targets_UW[[#This Row],[ROT (deg)]]</f>
        <v>#ERROR!</v>
      </c>
      <c r="AF67" s="29" t="str">
        <f>Targets_UW[[#This Row],[CLEW (deg)]]+Targets_UW[[#This Row],[TWIST (deg)]]</f>
        <v>#ERROR!</v>
      </c>
      <c r="AG67" s="30" t="str">
        <f>Targets_UW[[#This Row],[AWA+Leeway Top]]-Targets_UW[[#This Row],[CA6]]</f>
        <v>#ERROR!</v>
      </c>
      <c r="AH67" s="29" t="str">
        <f>Targets_UW[[#This Row],[AWA+Leeway]]-Targets_UW[[#This Row],[JibLead (deg)]]</f>
        <v>#ERROR!</v>
      </c>
    </row>
    <row r="68" ht="14.25" customHeight="1">
      <c r="A68" s="31" t="s">
        <v>41</v>
      </c>
      <c r="B68" s="32" t="s">
        <v>35</v>
      </c>
      <c r="C68" s="32" t="s">
        <v>37</v>
      </c>
      <c r="D68" s="32">
        <v>24.0</v>
      </c>
      <c r="E68" s="32" t="str">
        <f t="shared" si="1"/>
        <v>H1_HSB2_LARW2-24m</v>
      </c>
      <c r="F68" s="32">
        <v>14.0</v>
      </c>
      <c r="G68" s="33" t="str">
        <f>ABS(Targets_UW[[#This Row],[BSP (km/h)]]*COS(RADIANS(Targets_UW[[#This Row],[TWA (deg)]]+Targets_UW[[#This Row],[LEEWAY (deg)]])))</f>
        <v>#ERROR!</v>
      </c>
      <c r="H68" s="33">
        <v>25.0</v>
      </c>
      <c r="I68" s="33">
        <v>50.0</v>
      </c>
      <c r="J68" s="33">
        <v>3.0</v>
      </c>
      <c r="K68" s="33">
        <v>4.0</v>
      </c>
      <c r="L68" s="33">
        <v>-9.0</v>
      </c>
      <c r="M68" s="33" t="str">
        <f>Targets_UW[[#This Row],[CANT (deg)]]-Targets_UW[[#This Row],[HEEL (deg)]]</f>
        <v>#ERROR!</v>
      </c>
      <c r="N68" s="33"/>
      <c r="O68" s="33">
        <v>0.0</v>
      </c>
      <c r="P68" s="33">
        <v>2.8</v>
      </c>
      <c r="Q68" s="33">
        <v>-0.8</v>
      </c>
      <c r="R68" s="33">
        <v>-25.0</v>
      </c>
      <c r="S68" s="33" t="str">
        <f>Targets_UW[[#This Row],[CLEW (deg)]]-0.5*Targets_UW[[#This Row],[CA1 (deg)]]</f>
        <v>#ERROR!</v>
      </c>
      <c r="T68" s="33">
        <v>-4.0</v>
      </c>
      <c r="U68" s="33">
        <v>15.0</v>
      </c>
      <c r="V68" s="33">
        <v>200.0</v>
      </c>
      <c r="W68" s="33">
        <v>6.5</v>
      </c>
      <c r="X68" s="33">
        <v>600.0</v>
      </c>
      <c r="Y68" s="33" t="str">
        <f>SQRT(Targets_UW[[#This Row],[TWS (km/h)]]^2+Targets_UW[[#This Row],[BSP (km/h)]]^2+2*Targets_UW[[#This Row],[TWS (km/h)]]*Targets_UW[[#This Row],[BSP (km/h)]]*COS(RADIANS(Targets_UW[[#This Row],[TWA (deg)]]+Targets_UW[[#This Row],[LEEWAY (deg)]])))</f>
        <v>#ERROR!</v>
      </c>
      <c r="Z68" s="33" t="str">
        <f>DEGREES(ASIN(Targets_UW[[#This Row],[TWS (km/h)]]*SIN(RADIANS(Targets_UW[[#This Row],[TWA (deg)]]+Targets_UW[[#This Row],[LEEWAY (deg)]]))/Targets_UW[[#This Row],[AWS]]))</f>
        <v>#ERROR!</v>
      </c>
      <c r="AA68" s="33" t="str">
        <f>Targets_UW[[#This Row],[AWA+Leeway]]-Targets_UW[[#This Row],[ROT (deg)]]</f>
        <v>#ERROR!</v>
      </c>
      <c r="AB68" s="33" t="str">
        <f>Targets_UW[[#This Row],[TWS (km/h)]]*(Targets_UW[[#This Row],[Wing]]/10)^0.1</f>
        <v>#ERROR!</v>
      </c>
      <c r="AC68" s="33" t="str">
        <f>SQRT(Targets_UW[[#This Row],[TWSTop]]^2+Targets_UW[[#This Row],[BSP (km/h)]]^2+2*Targets_UW[[#This Row],[BSP (km/h)]]*Targets_UW[[#This Row],[TWSTop]]*COS(RADIANS(Targets_UW[[#This Row],[TWA (deg)]]+Targets_UW[[#This Row],[LEEWAY (deg)]])))</f>
        <v>#ERROR!</v>
      </c>
      <c r="AD68" s="33" t="str">
        <f>DEGREES(ASIN(Targets_UW[[#This Row],[TWSTop]]*SIN(RADIANS(Targets_UW[[#This Row],[TWA (deg)]]+Targets_UW[[#This Row],[LEEWAY (deg)]]))/Targets_UW[[#This Row],[AWSTop]]))</f>
        <v>#ERROR!</v>
      </c>
      <c r="AE68" s="33" t="str">
        <f>Targets_UW[[#This Row],[AWA+Leeway Top]]-Targets_UW[[#This Row],[ROT (deg)]]</f>
        <v>#ERROR!</v>
      </c>
      <c r="AF68" s="33" t="str">
        <f>Targets_UW[[#This Row],[CLEW (deg)]]+Targets_UW[[#This Row],[TWIST (deg)]]</f>
        <v>#ERROR!</v>
      </c>
      <c r="AG68" s="34" t="str">
        <f>Targets_UW[[#This Row],[AWA+Leeway Top]]-Targets_UW[[#This Row],[CA6]]</f>
        <v>#ERROR!</v>
      </c>
      <c r="AH68" s="29" t="str">
        <f>Targets_UW[[#This Row],[AWA+Leeway]]-Targets_UW[[#This Row],[JibLead (deg)]]</f>
        <v>#ERROR!</v>
      </c>
    </row>
    <row r="69" ht="14.25" customHeight="1">
      <c r="A69" s="15" t="s">
        <v>39</v>
      </c>
      <c r="B69" s="16" t="s">
        <v>38</v>
      </c>
      <c r="C69" s="16" t="s">
        <v>37</v>
      </c>
      <c r="D69" s="16">
        <v>24.0</v>
      </c>
      <c r="E69" s="16" t="str">
        <f t="shared" si="1"/>
        <v>H2_LAB2_LARW2-24m</v>
      </c>
      <c r="F69" s="16">
        <v>8.0</v>
      </c>
      <c r="G69" s="17" t="str">
        <f>ABS(Targets_UW[[#This Row],[BSP (km/h)]]*COS(RADIANS(Targets_UW[[#This Row],[TWA (deg)]]+Targets_UW[[#This Row],[LEEWAY (deg)]])))</f>
        <v>#ERROR!</v>
      </c>
      <c r="H69" s="17">
        <v>13.0</v>
      </c>
      <c r="I69" s="17">
        <v>51.0</v>
      </c>
      <c r="J69" s="17">
        <v>3.5</v>
      </c>
      <c r="K69" s="17">
        <v>3.0</v>
      </c>
      <c r="L69" s="17">
        <v>-1.0</v>
      </c>
      <c r="M69" s="17" t="str">
        <f>Targets_UW[[#This Row],[CANT (deg)]]-Targets_UW[[#This Row],[HEEL (deg)]]</f>
        <v>#ERROR!</v>
      </c>
      <c r="N69" s="17"/>
      <c r="O69" s="17">
        <v>0.0</v>
      </c>
      <c r="P69" s="17">
        <v>2.7</v>
      </c>
      <c r="Q69" s="17">
        <v>-0.1</v>
      </c>
      <c r="R69" s="17">
        <v>-30.0</v>
      </c>
      <c r="S69" s="17" t="str">
        <f>Targets_UW[[#This Row],[CLEW (deg)]]-0.5*Targets_UW[[#This Row],[CA1 (deg)]]</f>
        <v>#ERROR!</v>
      </c>
      <c r="T69" s="17">
        <v>0.0</v>
      </c>
      <c r="U69" s="17">
        <v>6.5</v>
      </c>
      <c r="V69" s="17">
        <v>60.0</v>
      </c>
      <c r="W69" s="17">
        <v>7.6</v>
      </c>
      <c r="X69" s="17">
        <v>150.0</v>
      </c>
      <c r="Y69" s="17" t="str">
        <f>SQRT(Targets_UW[[#This Row],[TWS (km/h)]]^2+Targets_UW[[#This Row],[BSP (km/h)]]^2+2*Targets_UW[[#This Row],[TWS (km/h)]]*Targets_UW[[#This Row],[BSP (km/h)]]*COS(RADIANS(Targets_UW[[#This Row],[TWA (deg)]]+Targets_UW[[#This Row],[LEEWAY (deg)]])))</f>
        <v>#ERROR!</v>
      </c>
      <c r="Z69" s="17" t="str">
        <f>DEGREES(ASIN(Targets_UW[[#This Row],[TWS (km/h)]]*SIN(RADIANS(Targets_UW[[#This Row],[TWA (deg)]]+Targets_UW[[#This Row],[LEEWAY (deg)]]))/Targets_UW[[#This Row],[AWS]]))</f>
        <v>#ERROR!</v>
      </c>
      <c r="AA69" s="17" t="str">
        <f>Targets_UW[[#This Row],[AWA+Leeway]]-Targets_UW[[#This Row],[ROT (deg)]]</f>
        <v>#ERROR!</v>
      </c>
      <c r="AB69" s="17" t="str">
        <f>Targets_UW[[#This Row],[TWS (km/h)]]*(Targets_UW[[#This Row],[Wing]]/10)^0.1</f>
        <v>#ERROR!</v>
      </c>
      <c r="AC69" s="17" t="str">
        <f>SQRT(Targets_UW[[#This Row],[TWSTop]]^2+Targets_UW[[#This Row],[BSP (km/h)]]^2+2*Targets_UW[[#This Row],[BSP (km/h)]]*Targets_UW[[#This Row],[TWSTop]]*COS(RADIANS(Targets_UW[[#This Row],[TWA (deg)]]+Targets_UW[[#This Row],[LEEWAY (deg)]])))</f>
        <v>#ERROR!</v>
      </c>
      <c r="AD69" s="17" t="str">
        <f>DEGREES(ASIN(Targets_UW[[#This Row],[TWSTop]]*SIN(RADIANS(Targets_UW[[#This Row],[TWA (deg)]]+Targets_UW[[#This Row],[LEEWAY (deg)]]))/Targets_UW[[#This Row],[AWSTop]]))</f>
        <v>#ERROR!</v>
      </c>
      <c r="AE69" s="17" t="str">
        <f>Targets_UW[[#This Row],[AWA+Leeway Top]]-Targets_UW[[#This Row],[ROT (deg)]]</f>
        <v>#ERROR!</v>
      </c>
      <c r="AF69" s="17" t="str">
        <f>Targets_UW[[#This Row],[CLEW (deg)]]+Targets_UW[[#This Row],[TWIST (deg)]]</f>
        <v>#ERROR!</v>
      </c>
      <c r="AG69" s="18" t="str">
        <f>Targets_UW[[#This Row],[AWA+Leeway Top]]-Targets_UW[[#This Row],[CA6]]</f>
        <v>#ERROR!</v>
      </c>
      <c r="AH69" s="19" t="str">
        <f>Targets_UW[[#This Row],[AWA+Leeway]]-Targets_UW[[#This Row],[JibLead (deg)]]</f>
        <v>#ERROR!</v>
      </c>
    </row>
    <row r="70" ht="14.25" customHeight="1">
      <c r="A70" s="20" t="s">
        <v>39</v>
      </c>
      <c r="B70" s="21" t="s">
        <v>38</v>
      </c>
      <c r="C70" s="21" t="s">
        <v>37</v>
      </c>
      <c r="D70" s="21">
        <v>24.0</v>
      </c>
      <c r="E70" s="21" t="str">
        <f t="shared" si="1"/>
        <v>H2_LAB2_LARW2-24m</v>
      </c>
      <c r="F70" s="21">
        <v>10.0</v>
      </c>
      <c r="G70" s="19" t="str">
        <f>ABS(Targets_UW[[#This Row],[BSP (km/h)]]*COS(RADIANS(Targets_UW[[#This Row],[TWA (deg)]]+Targets_UW[[#This Row],[LEEWAY (deg)]])))</f>
        <v>#ERROR!</v>
      </c>
      <c r="H70" s="19">
        <v>14.5</v>
      </c>
      <c r="I70" s="19">
        <v>48.0</v>
      </c>
      <c r="J70" s="19">
        <v>3.5</v>
      </c>
      <c r="K70" s="19">
        <v>1.5</v>
      </c>
      <c r="L70" s="19">
        <v>-2.5</v>
      </c>
      <c r="M70" s="19" t="str">
        <f>Targets_UW[[#This Row],[CANT (deg)]]-Targets_UW[[#This Row],[HEEL (deg)]]</f>
        <v>#ERROR!</v>
      </c>
      <c r="N70" s="19"/>
      <c r="O70" s="19">
        <v>0.0</v>
      </c>
      <c r="P70" s="19">
        <v>2.7</v>
      </c>
      <c r="Q70" s="19">
        <v>-0.1</v>
      </c>
      <c r="R70" s="19">
        <v>-30.0</v>
      </c>
      <c r="S70" s="19" t="str">
        <f>Targets_UW[[#This Row],[CLEW (deg)]]-0.5*Targets_UW[[#This Row],[CA1 (deg)]]</f>
        <v>#ERROR!</v>
      </c>
      <c r="T70" s="19">
        <v>0.0</v>
      </c>
      <c r="U70" s="19">
        <v>6.9</v>
      </c>
      <c r="V70" s="19">
        <v>90.0</v>
      </c>
      <c r="W70" s="19">
        <v>8.0</v>
      </c>
      <c r="X70" s="19">
        <v>270.0</v>
      </c>
      <c r="Y70" s="19" t="str">
        <f>SQRT(Targets_UW[[#This Row],[TWS (km/h)]]^2+Targets_UW[[#This Row],[BSP (km/h)]]^2+2*Targets_UW[[#This Row],[TWS (km/h)]]*Targets_UW[[#This Row],[BSP (km/h)]]*COS(RADIANS(Targets_UW[[#This Row],[TWA (deg)]]+Targets_UW[[#This Row],[LEEWAY (deg)]])))</f>
        <v>#ERROR!</v>
      </c>
      <c r="Z70" s="19" t="str">
        <f>DEGREES(ASIN(Targets_UW[[#This Row],[TWS (km/h)]]*SIN(RADIANS(Targets_UW[[#This Row],[TWA (deg)]]+Targets_UW[[#This Row],[LEEWAY (deg)]]))/Targets_UW[[#This Row],[AWS]]))</f>
        <v>#ERROR!</v>
      </c>
      <c r="AA70" s="19" t="str">
        <f>Targets_UW[[#This Row],[AWA+Leeway]]-Targets_UW[[#This Row],[ROT (deg)]]</f>
        <v>#ERROR!</v>
      </c>
      <c r="AB70" s="19" t="str">
        <f>Targets_UW[[#This Row],[TWS (km/h)]]*(Targets_UW[[#This Row],[Wing]]/10)^0.1</f>
        <v>#ERROR!</v>
      </c>
      <c r="AC70" s="19" t="str">
        <f>SQRT(Targets_UW[[#This Row],[TWSTop]]^2+Targets_UW[[#This Row],[BSP (km/h)]]^2+2*Targets_UW[[#This Row],[BSP (km/h)]]*Targets_UW[[#This Row],[TWSTop]]*COS(RADIANS(Targets_UW[[#This Row],[TWA (deg)]]+Targets_UW[[#This Row],[LEEWAY (deg)]])))</f>
        <v>#ERROR!</v>
      </c>
      <c r="AD70" s="19" t="str">
        <f>DEGREES(ASIN(Targets_UW[[#This Row],[TWSTop]]*SIN(RADIANS(Targets_UW[[#This Row],[TWA (deg)]]+Targets_UW[[#This Row],[LEEWAY (deg)]]))/Targets_UW[[#This Row],[AWSTop]]))</f>
        <v>#ERROR!</v>
      </c>
      <c r="AE70" s="19" t="str">
        <f>Targets_UW[[#This Row],[AWA+Leeway Top]]-Targets_UW[[#This Row],[ROT (deg)]]</f>
        <v>#ERROR!</v>
      </c>
      <c r="AF70" s="19" t="str">
        <f>Targets_UW[[#This Row],[CLEW (deg)]]+Targets_UW[[#This Row],[TWIST (deg)]]</f>
        <v>#ERROR!</v>
      </c>
      <c r="AG70" s="22" t="str">
        <f>Targets_UW[[#This Row],[AWA+Leeway Top]]-Targets_UW[[#This Row],[CA6]]</f>
        <v>#ERROR!</v>
      </c>
      <c r="AH70" s="19" t="str">
        <f>Targets_UW[[#This Row],[AWA+Leeway]]-Targets_UW[[#This Row],[JibLead (deg)]]</f>
        <v>#ERROR!</v>
      </c>
    </row>
    <row r="71" ht="14.25" customHeight="1">
      <c r="A71" s="20" t="s">
        <v>39</v>
      </c>
      <c r="B71" s="21" t="s">
        <v>38</v>
      </c>
      <c r="C71" s="21" t="s">
        <v>37</v>
      </c>
      <c r="D71" s="21">
        <v>24.0</v>
      </c>
      <c r="E71" s="21" t="str">
        <f t="shared" si="1"/>
        <v>H2_LAB2_LARW2-24m</v>
      </c>
      <c r="F71" s="21">
        <v>12.0</v>
      </c>
      <c r="G71" s="19" t="str">
        <f>ABS(Targets_UW[[#This Row],[BSP (km/h)]]*COS(RADIANS(Targets_UW[[#This Row],[TWA (deg)]]+Targets_UW[[#This Row],[LEEWAY (deg)]])))</f>
        <v>#ERROR!</v>
      </c>
      <c r="H71" s="19">
        <v>17.0</v>
      </c>
      <c r="I71" s="19">
        <v>48.0</v>
      </c>
      <c r="J71" s="19">
        <v>3.5</v>
      </c>
      <c r="K71" s="19">
        <v>1.0</v>
      </c>
      <c r="L71" s="19">
        <v>-3.0</v>
      </c>
      <c r="M71" s="19" t="str">
        <f>Targets_UW[[#This Row],[CANT (deg)]]-Targets_UW[[#This Row],[HEEL (deg)]]</f>
        <v>#ERROR!</v>
      </c>
      <c r="N71" s="19"/>
      <c r="O71" s="19">
        <v>0.0</v>
      </c>
      <c r="P71" s="19">
        <v>2.7</v>
      </c>
      <c r="Q71" s="19">
        <v>-0.1</v>
      </c>
      <c r="R71" s="19">
        <v>-30.0</v>
      </c>
      <c r="S71" s="19" t="str">
        <f>Targets_UW[[#This Row],[CLEW (deg)]]-0.5*Targets_UW[[#This Row],[CA1 (deg)]]</f>
        <v>#ERROR!</v>
      </c>
      <c r="T71" s="19">
        <v>0.0</v>
      </c>
      <c r="U71" s="19">
        <v>7.2</v>
      </c>
      <c r="V71" s="19">
        <v>125.0</v>
      </c>
      <c r="W71" s="19">
        <v>8.3</v>
      </c>
      <c r="X71" s="19">
        <v>375.0</v>
      </c>
      <c r="Y71" s="19" t="str">
        <f>SQRT(Targets_UW[[#This Row],[TWS (km/h)]]^2+Targets_UW[[#This Row],[BSP (km/h)]]^2+2*Targets_UW[[#This Row],[TWS (km/h)]]*Targets_UW[[#This Row],[BSP (km/h)]]*COS(RADIANS(Targets_UW[[#This Row],[TWA (deg)]]+Targets_UW[[#This Row],[LEEWAY (deg)]])))</f>
        <v>#ERROR!</v>
      </c>
      <c r="Z71" s="19" t="str">
        <f>DEGREES(ASIN(Targets_UW[[#This Row],[TWS (km/h)]]*SIN(RADIANS(Targets_UW[[#This Row],[TWA (deg)]]+Targets_UW[[#This Row],[LEEWAY (deg)]]))/Targets_UW[[#This Row],[AWS]]))</f>
        <v>#ERROR!</v>
      </c>
      <c r="AA71" s="19" t="str">
        <f>Targets_UW[[#This Row],[AWA+Leeway]]-Targets_UW[[#This Row],[ROT (deg)]]</f>
        <v>#ERROR!</v>
      </c>
      <c r="AB71" s="19" t="str">
        <f>Targets_UW[[#This Row],[TWS (km/h)]]*(Targets_UW[[#This Row],[Wing]]/10)^0.1</f>
        <v>#ERROR!</v>
      </c>
      <c r="AC71" s="19" t="str">
        <f>SQRT(Targets_UW[[#This Row],[TWSTop]]^2+Targets_UW[[#This Row],[BSP (km/h)]]^2+2*Targets_UW[[#This Row],[BSP (km/h)]]*Targets_UW[[#This Row],[TWSTop]]*COS(RADIANS(Targets_UW[[#This Row],[TWA (deg)]]+Targets_UW[[#This Row],[LEEWAY (deg)]])))</f>
        <v>#ERROR!</v>
      </c>
      <c r="AD71" s="19" t="str">
        <f>DEGREES(ASIN(Targets_UW[[#This Row],[TWSTop]]*SIN(RADIANS(Targets_UW[[#This Row],[TWA (deg)]]+Targets_UW[[#This Row],[LEEWAY (deg)]]))/Targets_UW[[#This Row],[AWSTop]]))</f>
        <v>#ERROR!</v>
      </c>
      <c r="AE71" s="19" t="str">
        <f>Targets_UW[[#This Row],[AWA+Leeway Top]]-Targets_UW[[#This Row],[ROT (deg)]]</f>
        <v>#ERROR!</v>
      </c>
      <c r="AF71" s="19" t="str">
        <f>Targets_UW[[#This Row],[CLEW (deg)]]+Targets_UW[[#This Row],[TWIST (deg)]]</f>
        <v>#ERROR!</v>
      </c>
      <c r="AG71" s="22" t="str">
        <f>Targets_UW[[#This Row],[AWA+Leeway Top]]-Targets_UW[[#This Row],[CA6]]</f>
        <v>#ERROR!</v>
      </c>
      <c r="AH71" s="19" t="str">
        <f>Targets_UW[[#This Row],[AWA+Leeway]]-Targets_UW[[#This Row],[JibLead (deg)]]</f>
        <v>#ERROR!</v>
      </c>
    </row>
    <row r="72" ht="14.25" customHeight="1">
      <c r="A72" s="20" t="s">
        <v>39</v>
      </c>
      <c r="B72" s="21" t="s">
        <v>38</v>
      </c>
      <c r="C72" s="21" t="s">
        <v>37</v>
      </c>
      <c r="D72" s="21">
        <v>24.0</v>
      </c>
      <c r="E72" s="21" t="str">
        <f t="shared" si="1"/>
        <v>H2_LAB2_LARW2-24m</v>
      </c>
      <c r="F72" s="21">
        <v>14.0</v>
      </c>
      <c r="G72" s="19" t="str">
        <f>ABS(Targets_UW[[#This Row],[BSP (km/h)]]*COS(RADIANS(Targets_UW[[#This Row],[TWA (deg)]]+Targets_UW[[#This Row],[LEEWAY (deg)]])))</f>
        <v>#ERROR!</v>
      </c>
      <c r="H72" s="19">
        <v>19.0</v>
      </c>
      <c r="I72" s="19">
        <v>48.0</v>
      </c>
      <c r="J72" s="19">
        <v>3.5</v>
      </c>
      <c r="K72" s="19">
        <v>0.5</v>
      </c>
      <c r="L72" s="19">
        <v>-3.5</v>
      </c>
      <c r="M72" s="19" t="str">
        <f>Targets_UW[[#This Row],[CANT (deg)]]-Targets_UW[[#This Row],[HEEL (deg)]]</f>
        <v>#ERROR!</v>
      </c>
      <c r="N72" s="19"/>
      <c r="O72" s="19">
        <v>0.0</v>
      </c>
      <c r="P72" s="19">
        <v>2.7</v>
      </c>
      <c r="Q72" s="19">
        <v>-0.1</v>
      </c>
      <c r="R72" s="19">
        <v>-30.0</v>
      </c>
      <c r="S72" s="19" t="str">
        <f>Targets_UW[[#This Row],[CLEW (deg)]]-0.5*Targets_UW[[#This Row],[CA1 (deg)]]</f>
        <v>#ERROR!</v>
      </c>
      <c r="T72" s="19">
        <v>0.0</v>
      </c>
      <c r="U72" s="19">
        <v>7.8</v>
      </c>
      <c r="V72" s="19">
        <v>160.0</v>
      </c>
      <c r="W72" s="19">
        <v>8.9</v>
      </c>
      <c r="X72" s="19">
        <v>460.0</v>
      </c>
      <c r="Y72" s="19" t="str">
        <f>SQRT(Targets_UW[[#This Row],[TWS (km/h)]]^2+Targets_UW[[#This Row],[BSP (km/h)]]^2+2*Targets_UW[[#This Row],[TWS (km/h)]]*Targets_UW[[#This Row],[BSP (km/h)]]*COS(RADIANS(Targets_UW[[#This Row],[TWA (deg)]]+Targets_UW[[#This Row],[LEEWAY (deg)]])))</f>
        <v>#ERROR!</v>
      </c>
      <c r="Z72" s="19" t="str">
        <f>DEGREES(ASIN(Targets_UW[[#This Row],[TWS (km/h)]]*SIN(RADIANS(Targets_UW[[#This Row],[TWA (deg)]]+Targets_UW[[#This Row],[LEEWAY (deg)]]))/Targets_UW[[#This Row],[AWS]]))</f>
        <v>#ERROR!</v>
      </c>
      <c r="AA72" s="19" t="str">
        <f>Targets_UW[[#This Row],[AWA+Leeway]]-Targets_UW[[#This Row],[ROT (deg)]]</f>
        <v>#ERROR!</v>
      </c>
      <c r="AB72" s="19" t="str">
        <f>Targets_UW[[#This Row],[TWS (km/h)]]*(Targets_UW[[#This Row],[Wing]]/10)^0.1</f>
        <v>#ERROR!</v>
      </c>
      <c r="AC72" s="19" t="str">
        <f>SQRT(Targets_UW[[#This Row],[TWSTop]]^2+Targets_UW[[#This Row],[BSP (km/h)]]^2+2*Targets_UW[[#This Row],[BSP (km/h)]]*Targets_UW[[#This Row],[TWSTop]]*COS(RADIANS(Targets_UW[[#This Row],[TWA (deg)]]+Targets_UW[[#This Row],[LEEWAY (deg)]])))</f>
        <v>#ERROR!</v>
      </c>
      <c r="AD72" s="19" t="str">
        <f>DEGREES(ASIN(Targets_UW[[#This Row],[TWSTop]]*SIN(RADIANS(Targets_UW[[#This Row],[TWA (deg)]]+Targets_UW[[#This Row],[LEEWAY (deg)]]))/Targets_UW[[#This Row],[AWSTop]]))</f>
        <v>#ERROR!</v>
      </c>
      <c r="AE72" s="19" t="str">
        <f>Targets_UW[[#This Row],[AWA+Leeway Top]]-Targets_UW[[#This Row],[ROT (deg)]]</f>
        <v>#ERROR!</v>
      </c>
      <c r="AF72" s="19" t="str">
        <f>Targets_UW[[#This Row],[CLEW (deg)]]+Targets_UW[[#This Row],[TWIST (deg)]]</f>
        <v>#ERROR!</v>
      </c>
      <c r="AG72" s="22" t="str">
        <f>Targets_UW[[#This Row],[AWA+Leeway Top]]-Targets_UW[[#This Row],[CA6]]</f>
        <v>#ERROR!</v>
      </c>
      <c r="AH72" s="19" t="str">
        <f>Targets_UW[[#This Row],[AWA+Leeway]]-Targets_UW[[#This Row],[JibLead (deg)]]</f>
        <v>#ERROR!</v>
      </c>
    </row>
    <row r="73" ht="14.25" customHeight="1">
      <c r="A73" s="23" t="s">
        <v>40</v>
      </c>
      <c r="B73" s="24" t="s">
        <v>38</v>
      </c>
      <c r="C73" s="24" t="s">
        <v>37</v>
      </c>
      <c r="D73" s="24">
        <v>24.0</v>
      </c>
      <c r="E73" s="24" t="str">
        <f t="shared" si="1"/>
        <v>H1-2B_LAB2_LARW2-24m</v>
      </c>
      <c r="F73" s="24">
        <v>10.0</v>
      </c>
      <c r="G73" s="25" t="str">
        <f>ABS(Targets_UW[[#This Row],[BSP (km/h)]]*COS(RADIANS(Targets_UW[[#This Row],[TWA (deg)]]+Targets_UW[[#This Row],[LEEWAY (deg)]])))</f>
        <v>#ERROR!</v>
      </c>
      <c r="H73" s="25">
        <v>17.0</v>
      </c>
      <c r="I73" s="25">
        <v>58.0</v>
      </c>
      <c r="J73" s="25">
        <v>4.5</v>
      </c>
      <c r="K73" s="25">
        <v>0.0</v>
      </c>
      <c r="L73" s="25">
        <v>-9.0</v>
      </c>
      <c r="M73" s="25" t="str">
        <f>Targets_UW[[#This Row],[CANT (deg)]]-Targets_UW[[#This Row],[HEEL (deg)]]</f>
        <v>#ERROR!</v>
      </c>
      <c r="N73" s="25"/>
      <c r="O73" s="25">
        <v>0.0</v>
      </c>
      <c r="P73" s="25">
        <v>3.3</v>
      </c>
      <c r="Q73" s="25">
        <v>-0.5</v>
      </c>
      <c r="R73" s="25">
        <v>-32.0</v>
      </c>
      <c r="S73" s="25" t="str">
        <f>Targets_UW[[#This Row],[CLEW (deg)]]-0.5*Targets_UW[[#This Row],[CA1 (deg)]]</f>
        <v>#ERROR!</v>
      </c>
      <c r="T73" s="25">
        <v>-4.0</v>
      </c>
      <c r="U73" s="25">
        <v>9.2</v>
      </c>
      <c r="V73" s="25">
        <v>100.0</v>
      </c>
      <c r="W73" s="25">
        <v>9.3</v>
      </c>
      <c r="X73" s="25">
        <v>320.0</v>
      </c>
      <c r="Y73" s="25" t="str">
        <f>SQRT(Targets_UW[[#This Row],[TWS (km/h)]]^2+Targets_UW[[#This Row],[BSP (km/h)]]^2+2*Targets_UW[[#This Row],[TWS (km/h)]]*Targets_UW[[#This Row],[BSP (km/h)]]*COS(RADIANS(Targets_UW[[#This Row],[TWA (deg)]]+Targets_UW[[#This Row],[LEEWAY (deg)]])))</f>
        <v>#ERROR!</v>
      </c>
      <c r="Z73" s="25" t="str">
        <f>DEGREES(ASIN(Targets_UW[[#This Row],[TWS (km/h)]]*SIN(RADIANS(Targets_UW[[#This Row],[TWA (deg)]]+Targets_UW[[#This Row],[LEEWAY (deg)]]))/Targets_UW[[#This Row],[AWS]]))</f>
        <v>#ERROR!</v>
      </c>
      <c r="AA73" s="25" t="str">
        <f>Targets_UW[[#This Row],[AWA+Leeway]]-Targets_UW[[#This Row],[ROT (deg)]]</f>
        <v>#ERROR!</v>
      </c>
      <c r="AB73" s="25" t="str">
        <f>Targets_UW[[#This Row],[TWS (km/h)]]*(Targets_UW[[#This Row],[Wing]]/10)^0.1</f>
        <v>#ERROR!</v>
      </c>
      <c r="AC73" s="25" t="str">
        <f>SQRT(Targets_UW[[#This Row],[TWSTop]]^2+Targets_UW[[#This Row],[BSP (km/h)]]^2+2*Targets_UW[[#This Row],[BSP (km/h)]]*Targets_UW[[#This Row],[TWSTop]]*COS(RADIANS(Targets_UW[[#This Row],[TWA (deg)]]+Targets_UW[[#This Row],[LEEWAY (deg)]])))</f>
        <v>#ERROR!</v>
      </c>
      <c r="AD73" s="25" t="str">
        <f>DEGREES(ASIN(Targets_UW[[#This Row],[TWSTop]]*SIN(RADIANS(Targets_UW[[#This Row],[TWA (deg)]]+Targets_UW[[#This Row],[LEEWAY (deg)]]))/Targets_UW[[#This Row],[AWSTop]]))</f>
        <v>#ERROR!</v>
      </c>
      <c r="AE73" s="25" t="str">
        <f>Targets_UW[[#This Row],[AWA+Leeway Top]]-Targets_UW[[#This Row],[ROT (deg)]]</f>
        <v>#ERROR!</v>
      </c>
      <c r="AF73" s="25" t="str">
        <f>Targets_UW[[#This Row],[CLEW (deg)]]+Targets_UW[[#This Row],[TWIST (deg)]]</f>
        <v>#ERROR!</v>
      </c>
      <c r="AG73" s="26" t="str">
        <f>Targets_UW[[#This Row],[AWA+Leeway Top]]-Targets_UW[[#This Row],[CA6]]</f>
        <v>#ERROR!</v>
      </c>
      <c r="AH73" s="25" t="str">
        <f>Targets_UW[[#This Row],[AWA+Leeway]]-Targets_UW[[#This Row],[JibLead (deg)]]</f>
        <v>#ERROR!</v>
      </c>
    </row>
    <row r="74" ht="14.25" customHeight="1">
      <c r="A74" s="23" t="s">
        <v>40</v>
      </c>
      <c r="B74" s="24" t="s">
        <v>38</v>
      </c>
      <c r="C74" s="24" t="s">
        <v>37</v>
      </c>
      <c r="D74" s="24">
        <v>24.0</v>
      </c>
      <c r="E74" s="24" t="str">
        <f t="shared" si="1"/>
        <v>H1-2B_LAB2_LARW2-24m</v>
      </c>
      <c r="F74" s="24">
        <v>11.0</v>
      </c>
      <c r="G74" s="25" t="str">
        <f>ABS(Targets_UW[[#This Row],[BSP (km/h)]]*COS(RADIANS(Targets_UW[[#This Row],[TWA (deg)]]+Targets_UW[[#This Row],[LEEWAY (deg)]])))</f>
        <v>#ERROR!</v>
      </c>
      <c r="H74" s="25">
        <v>17.5</v>
      </c>
      <c r="I74" s="25">
        <v>53.0</v>
      </c>
      <c r="J74" s="25">
        <v>4.5</v>
      </c>
      <c r="K74" s="25">
        <v>0.0</v>
      </c>
      <c r="L74" s="25">
        <v>-9.0</v>
      </c>
      <c r="M74" s="25" t="str">
        <f>Targets_UW[[#This Row],[CANT (deg)]]-Targets_UW[[#This Row],[HEEL (deg)]]</f>
        <v>#ERROR!</v>
      </c>
      <c r="N74" s="25"/>
      <c r="O74" s="25">
        <v>0.0</v>
      </c>
      <c r="P74" s="25">
        <v>3.3</v>
      </c>
      <c r="Q74" s="25">
        <v>-0.5</v>
      </c>
      <c r="R74" s="25">
        <v>-31.0</v>
      </c>
      <c r="S74" s="25" t="str">
        <f>Targets_UW[[#This Row],[CLEW (deg)]]-0.5*Targets_UW[[#This Row],[CA1 (deg)]]</f>
        <v>#ERROR!</v>
      </c>
      <c r="T74" s="25">
        <v>-4.0</v>
      </c>
      <c r="U74" s="25">
        <v>8.4</v>
      </c>
      <c r="V74" s="25">
        <v>120.0</v>
      </c>
      <c r="W74" s="25">
        <v>8.6</v>
      </c>
      <c r="X74" s="25">
        <v>360.0</v>
      </c>
      <c r="Y74" s="25" t="str">
        <f>SQRT(Targets_UW[[#This Row],[TWS (km/h)]]^2+Targets_UW[[#This Row],[BSP (km/h)]]^2+2*Targets_UW[[#This Row],[TWS (km/h)]]*Targets_UW[[#This Row],[BSP (km/h)]]*COS(RADIANS(Targets_UW[[#This Row],[TWA (deg)]]+Targets_UW[[#This Row],[LEEWAY (deg)]])))</f>
        <v>#ERROR!</v>
      </c>
      <c r="Z74" s="25" t="str">
        <f>DEGREES(ASIN(Targets_UW[[#This Row],[TWS (km/h)]]*SIN(RADIANS(Targets_UW[[#This Row],[TWA (deg)]]+Targets_UW[[#This Row],[LEEWAY (deg)]]))/Targets_UW[[#This Row],[AWS]]))</f>
        <v>#ERROR!</v>
      </c>
      <c r="AA74" s="25" t="str">
        <f>Targets_UW[[#This Row],[AWA+Leeway]]-Targets_UW[[#This Row],[ROT (deg)]]</f>
        <v>#ERROR!</v>
      </c>
      <c r="AB74" s="25" t="str">
        <f>Targets_UW[[#This Row],[TWS (km/h)]]*(Targets_UW[[#This Row],[Wing]]/10)^0.1</f>
        <v>#ERROR!</v>
      </c>
      <c r="AC74" s="25" t="str">
        <f>SQRT(Targets_UW[[#This Row],[TWSTop]]^2+Targets_UW[[#This Row],[BSP (km/h)]]^2+2*Targets_UW[[#This Row],[BSP (km/h)]]*Targets_UW[[#This Row],[TWSTop]]*COS(RADIANS(Targets_UW[[#This Row],[TWA (deg)]]+Targets_UW[[#This Row],[LEEWAY (deg)]])))</f>
        <v>#ERROR!</v>
      </c>
      <c r="AD74" s="25" t="str">
        <f>DEGREES(ASIN(Targets_UW[[#This Row],[TWSTop]]*SIN(RADIANS(Targets_UW[[#This Row],[TWA (deg)]]+Targets_UW[[#This Row],[LEEWAY (deg)]]))/Targets_UW[[#This Row],[AWSTop]]))</f>
        <v>#ERROR!</v>
      </c>
      <c r="AE74" s="25" t="str">
        <f>Targets_UW[[#This Row],[AWA+Leeway Top]]-Targets_UW[[#This Row],[ROT (deg)]]</f>
        <v>#ERROR!</v>
      </c>
      <c r="AF74" s="25" t="str">
        <f>Targets_UW[[#This Row],[CLEW (deg)]]+Targets_UW[[#This Row],[TWIST (deg)]]</f>
        <v>#ERROR!</v>
      </c>
      <c r="AG74" s="26" t="str">
        <f>Targets_UW[[#This Row],[AWA+Leeway Top]]-Targets_UW[[#This Row],[CA6]]</f>
        <v>#ERROR!</v>
      </c>
      <c r="AH74" s="25" t="str">
        <f>Targets_UW[[#This Row],[AWA+Leeway]]-Targets_UW[[#This Row],[JibLead (deg)]]</f>
        <v>#ERROR!</v>
      </c>
    </row>
    <row r="75" ht="14.25" customHeight="1">
      <c r="A75" s="23" t="s">
        <v>40</v>
      </c>
      <c r="B75" s="24" t="s">
        <v>38</v>
      </c>
      <c r="C75" s="24" t="s">
        <v>37</v>
      </c>
      <c r="D75" s="24">
        <v>24.0</v>
      </c>
      <c r="E75" s="24" t="str">
        <f t="shared" si="1"/>
        <v>H1-2B_LAB2_LARW2-24m</v>
      </c>
      <c r="F75" s="24">
        <v>12.0</v>
      </c>
      <c r="G75" s="25" t="str">
        <f>ABS(Targets_UW[[#This Row],[BSP (km/h)]]*COS(RADIANS(Targets_UW[[#This Row],[TWA (deg)]]+Targets_UW[[#This Row],[LEEWAY (deg)]])))</f>
        <v>#ERROR!</v>
      </c>
      <c r="H75" s="25">
        <v>19.0</v>
      </c>
      <c r="I75" s="25">
        <v>52.5</v>
      </c>
      <c r="J75" s="25">
        <v>4.5</v>
      </c>
      <c r="K75" s="25">
        <v>0.0</v>
      </c>
      <c r="L75" s="25">
        <v>-9.0</v>
      </c>
      <c r="M75" s="25" t="str">
        <f>Targets_UW[[#This Row],[CANT (deg)]]-Targets_UW[[#This Row],[HEEL (deg)]]</f>
        <v>#ERROR!</v>
      </c>
      <c r="N75" s="25"/>
      <c r="O75" s="25">
        <v>0.0</v>
      </c>
      <c r="P75" s="25">
        <v>3.3</v>
      </c>
      <c r="Q75" s="25">
        <v>-0.5</v>
      </c>
      <c r="R75" s="25">
        <v>-31.0</v>
      </c>
      <c r="S75" s="25" t="str">
        <f>Targets_UW[[#This Row],[CLEW (deg)]]-0.5*Targets_UW[[#This Row],[CA1 (deg)]]</f>
        <v>#ERROR!</v>
      </c>
      <c r="T75" s="25">
        <v>-4.0</v>
      </c>
      <c r="U75" s="25">
        <v>8.3</v>
      </c>
      <c r="V75" s="25">
        <v>135.0</v>
      </c>
      <c r="W75" s="25">
        <v>8.5</v>
      </c>
      <c r="X75" s="25">
        <v>410.0</v>
      </c>
      <c r="Y75" s="25" t="str">
        <f>SQRT(Targets_UW[[#This Row],[TWS (km/h)]]^2+Targets_UW[[#This Row],[BSP (km/h)]]^2+2*Targets_UW[[#This Row],[TWS (km/h)]]*Targets_UW[[#This Row],[BSP (km/h)]]*COS(RADIANS(Targets_UW[[#This Row],[TWA (deg)]]+Targets_UW[[#This Row],[LEEWAY (deg)]])))</f>
        <v>#ERROR!</v>
      </c>
      <c r="Z75" s="25" t="str">
        <f>DEGREES(ASIN(Targets_UW[[#This Row],[TWS (km/h)]]*SIN(RADIANS(Targets_UW[[#This Row],[TWA (deg)]]+Targets_UW[[#This Row],[LEEWAY (deg)]]))/Targets_UW[[#This Row],[AWS]]))</f>
        <v>#ERROR!</v>
      </c>
      <c r="AA75" s="25" t="str">
        <f>Targets_UW[[#This Row],[AWA+Leeway]]-Targets_UW[[#This Row],[ROT (deg)]]</f>
        <v>#ERROR!</v>
      </c>
      <c r="AB75" s="25" t="str">
        <f>Targets_UW[[#This Row],[TWS (km/h)]]*(Targets_UW[[#This Row],[Wing]]/10)^0.1</f>
        <v>#ERROR!</v>
      </c>
      <c r="AC75" s="25" t="str">
        <f>SQRT(Targets_UW[[#This Row],[TWSTop]]^2+Targets_UW[[#This Row],[BSP (km/h)]]^2+2*Targets_UW[[#This Row],[BSP (km/h)]]*Targets_UW[[#This Row],[TWSTop]]*COS(RADIANS(Targets_UW[[#This Row],[TWA (deg)]]+Targets_UW[[#This Row],[LEEWAY (deg)]])))</f>
        <v>#ERROR!</v>
      </c>
      <c r="AD75" s="25" t="str">
        <f>DEGREES(ASIN(Targets_UW[[#This Row],[TWSTop]]*SIN(RADIANS(Targets_UW[[#This Row],[TWA (deg)]]+Targets_UW[[#This Row],[LEEWAY (deg)]]))/Targets_UW[[#This Row],[AWSTop]]))</f>
        <v>#ERROR!</v>
      </c>
      <c r="AE75" s="25" t="str">
        <f>Targets_UW[[#This Row],[AWA+Leeway Top]]-Targets_UW[[#This Row],[ROT (deg)]]</f>
        <v>#ERROR!</v>
      </c>
      <c r="AF75" s="25" t="str">
        <f>Targets_UW[[#This Row],[CLEW (deg)]]+Targets_UW[[#This Row],[TWIST (deg)]]</f>
        <v>#ERROR!</v>
      </c>
      <c r="AG75" s="26" t="str">
        <f>Targets_UW[[#This Row],[AWA+Leeway Top]]-Targets_UW[[#This Row],[CA6]]</f>
        <v>#ERROR!</v>
      </c>
      <c r="AH75" s="25" t="str">
        <f>Targets_UW[[#This Row],[AWA+Leeway]]-Targets_UW[[#This Row],[JibLead (deg)]]</f>
        <v>#ERROR!</v>
      </c>
    </row>
    <row r="76" ht="14.25" customHeight="1">
      <c r="A76" s="23" t="s">
        <v>40</v>
      </c>
      <c r="B76" s="24" t="s">
        <v>38</v>
      </c>
      <c r="C76" s="24" t="s">
        <v>37</v>
      </c>
      <c r="D76" s="24">
        <v>24.0</v>
      </c>
      <c r="E76" s="24" t="str">
        <f t="shared" si="1"/>
        <v>H1-2B_LAB2_LARW2-24m</v>
      </c>
      <c r="F76" s="24">
        <v>13.0</v>
      </c>
      <c r="G76" s="25" t="str">
        <f>ABS(Targets_UW[[#This Row],[BSP (km/h)]]*COS(RADIANS(Targets_UW[[#This Row],[TWA (deg)]]+Targets_UW[[#This Row],[LEEWAY (deg)]])))</f>
        <v>#ERROR!</v>
      </c>
      <c r="H76" s="25">
        <v>20.5</v>
      </c>
      <c r="I76" s="25">
        <v>52.0</v>
      </c>
      <c r="J76" s="25">
        <v>4.5</v>
      </c>
      <c r="K76" s="25">
        <v>0.0</v>
      </c>
      <c r="L76" s="25">
        <v>-9.0</v>
      </c>
      <c r="M76" s="25" t="str">
        <f>Targets_UW[[#This Row],[CANT (deg)]]-Targets_UW[[#This Row],[HEEL (deg)]]</f>
        <v>#ERROR!</v>
      </c>
      <c r="N76" s="25"/>
      <c r="O76" s="25">
        <v>0.0</v>
      </c>
      <c r="P76" s="25">
        <v>3.3</v>
      </c>
      <c r="Q76" s="25">
        <v>-0.5</v>
      </c>
      <c r="R76" s="25">
        <v>-31.0</v>
      </c>
      <c r="S76" s="25" t="str">
        <f>Targets_UW[[#This Row],[CLEW (deg)]]-0.5*Targets_UW[[#This Row],[CA1 (deg)]]</f>
        <v>#ERROR!</v>
      </c>
      <c r="T76" s="25">
        <v>-4.0</v>
      </c>
      <c r="U76" s="25">
        <v>8.2</v>
      </c>
      <c r="V76" s="25">
        <v>160.0</v>
      </c>
      <c r="W76" s="25">
        <v>8.4</v>
      </c>
      <c r="X76" s="25">
        <v>440.0</v>
      </c>
      <c r="Y76" s="25" t="str">
        <f>SQRT(Targets_UW[[#This Row],[TWS (km/h)]]^2+Targets_UW[[#This Row],[BSP (km/h)]]^2+2*Targets_UW[[#This Row],[TWS (km/h)]]*Targets_UW[[#This Row],[BSP (km/h)]]*COS(RADIANS(Targets_UW[[#This Row],[TWA (deg)]]+Targets_UW[[#This Row],[LEEWAY (deg)]])))</f>
        <v>#ERROR!</v>
      </c>
      <c r="Z76" s="25" t="str">
        <f>DEGREES(ASIN(Targets_UW[[#This Row],[TWS (km/h)]]*SIN(RADIANS(Targets_UW[[#This Row],[TWA (deg)]]+Targets_UW[[#This Row],[LEEWAY (deg)]]))/Targets_UW[[#This Row],[AWS]]))</f>
        <v>#ERROR!</v>
      </c>
      <c r="AA76" s="25" t="str">
        <f>Targets_UW[[#This Row],[AWA+Leeway]]-Targets_UW[[#This Row],[ROT (deg)]]</f>
        <v>#ERROR!</v>
      </c>
      <c r="AB76" s="25" t="str">
        <f>Targets_UW[[#This Row],[TWS (km/h)]]*(Targets_UW[[#This Row],[Wing]]/10)^0.1</f>
        <v>#ERROR!</v>
      </c>
      <c r="AC76" s="25" t="str">
        <f>SQRT(Targets_UW[[#This Row],[TWSTop]]^2+Targets_UW[[#This Row],[BSP (km/h)]]^2+2*Targets_UW[[#This Row],[BSP (km/h)]]*Targets_UW[[#This Row],[TWSTop]]*COS(RADIANS(Targets_UW[[#This Row],[TWA (deg)]]+Targets_UW[[#This Row],[LEEWAY (deg)]])))</f>
        <v>#ERROR!</v>
      </c>
      <c r="AD76" s="25" t="str">
        <f>DEGREES(ASIN(Targets_UW[[#This Row],[TWSTop]]*SIN(RADIANS(Targets_UW[[#This Row],[TWA (deg)]]+Targets_UW[[#This Row],[LEEWAY (deg)]]))/Targets_UW[[#This Row],[AWSTop]]))</f>
        <v>#ERROR!</v>
      </c>
      <c r="AE76" s="25" t="str">
        <f>Targets_UW[[#This Row],[AWA+Leeway Top]]-Targets_UW[[#This Row],[ROT (deg)]]</f>
        <v>#ERROR!</v>
      </c>
      <c r="AF76" s="25" t="str">
        <f>Targets_UW[[#This Row],[CLEW (deg)]]+Targets_UW[[#This Row],[TWIST (deg)]]</f>
        <v>#ERROR!</v>
      </c>
      <c r="AG76" s="26" t="str">
        <f>Targets_UW[[#This Row],[AWA+Leeway Top]]-Targets_UW[[#This Row],[CA6]]</f>
        <v>#ERROR!</v>
      </c>
      <c r="AH76" s="25" t="str">
        <f>Targets_UW[[#This Row],[AWA+Leeway]]-Targets_UW[[#This Row],[JibLead (deg)]]</f>
        <v>#ERROR!</v>
      </c>
    </row>
    <row r="77" ht="14.25" customHeight="1">
      <c r="A77" s="27" t="s">
        <v>41</v>
      </c>
      <c r="B77" s="28" t="s">
        <v>38</v>
      </c>
      <c r="C77" s="28" t="s">
        <v>37</v>
      </c>
      <c r="D77" s="28">
        <v>24.0</v>
      </c>
      <c r="E77" s="28" t="str">
        <f t="shared" si="1"/>
        <v>H1_LAB2_LARW2-24m</v>
      </c>
      <c r="F77" s="28">
        <v>12.0</v>
      </c>
      <c r="G77" s="29" t="str">
        <f>ABS(Targets_UW[[#This Row],[BSP (km/h)]]*COS(RADIANS(Targets_UW[[#This Row],[TWA (deg)]]+Targets_UW[[#This Row],[LEEWAY (deg)]])))</f>
        <v>#ERROR!</v>
      </c>
      <c r="H77" s="29">
        <v>21.5</v>
      </c>
      <c r="I77" s="29">
        <v>56.5</v>
      </c>
      <c r="J77" s="29">
        <v>3.0</v>
      </c>
      <c r="K77" s="29">
        <v>0.0</v>
      </c>
      <c r="L77" s="29">
        <v>-9.0</v>
      </c>
      <c r="M77" s="29" t="str">
        <f>Targets_UW[[#This Row],[CANT (deg)]]-Targets_UW[[#This Row],[HEEL (deg)]]</f>
        <v>#ERROR!</v>
      </c>
      <c r="N77" s="29"/>
      <c r="O77" s="29">
        <v>0.0</v>
      </c>
      <c r="P77" s="29">
        <v>2.8</v>
      </c>
      <c r="Q77" s="29">
        <v>-0.8</v>
      </c>
      <c r="R77" s="29">
        <v>-29.0</v>
      </c>
      <c r="S77" s="29" t="str">
        <f>Targets_UW[[#This Row],[CLEW (deg)]]-0.5*Targets_UW[[#This Row],[CA1 (deg)]]</f>
        <v>#ERROR!</v>
      </c>
      <c r="T77" s="29">
        <v>-4.0</v>
      </c>
      <c r="U77" s="29">
        <v>7.0</v>
      </c>
      <c r="V77" s="29">
        <v>160.0</v>
      </c>
      <c r="W77" s="29">
        <v>8.0</v>
      </c>
      <c r="X77" s="29">
        <v>440.0</v>
      </c>
      <c r="Y77" s="29" t="str">
        <f>SQRT(Targets_UW[[#This Row],[TWS (km/h)]]^2+Targets_UW[[#This Row],[BSP (km/h)]]^2+2*Targets_UW[[#This Row],[TWS (km/h)]]*Targets_UW[[#This Row],[BSP (km/h)]]*COS(RADIANS(Targets_UW[[#This Row],[TWA (deg)]]+Targets_UW[[#This Row],[LEEWAY (deg)]])))</f>
        <v>#ERROR!</v>
      </c>
      <c r="Z77" s="29" t="str">
        <f>DEGREES(ASIN(Targets_UW[[#This Row],[TWS (km/h)]]*SIN(RADIANS(Targets_UW[[#This Row],[TWA (deg)]]+Targets_UW[[#This Row],[LEEWAY (deg)]]))/Targets_UW[[#This Row],[AWS]]))</f>
        <v>#ERROR!</v>
      </c>
      <c r="AA77" s="29" t="str">
        <f>Targets_UW[[#This Row],[AWA+Leeway]]-Targets_UW[[#This Row],[ROT (deg)]]</f>
        <v>#ERROR!</v>
      </c>
      <c r="AB77" s="29" t="str">
        <f>Targets_UW[[#This Row],[TWS (km/h)]]*(Targets_UW[[#This Row],[Wing]]/10)^0.1</f>
        <v>#ERROR!</v>
      </c>
      <c r="AC77" s="29" t="str">
        <f>SQRT(Targets_UW[[#This Row],[TWSTop]]^2+Targets_UW[[#This Row],[BSP (km/h)]]^2+2*Targets_UW[[#This Row],[BSP (km/h)]]*Targets_UW[[#This Row],[TWSTop]]*COS(RADIANS(Targets_UW[[#This Row],[TWA (deg)]]+Targets_UW[[#This Row],[LEEWAY (deg)]])))</f>
        <v>#ERROR!</v>
      </c>
      <c r="AD77" s="29" t="str">
        <f>DEGREES(ASIN(Targets_UW[[#This Row],[TWSTop]]*SIN(RADIANS(Targets_UW[[#This Row],[TWA (deg)]]+Targets_UW[[#This Row],[LEEWAY (deg)]]))/Targets_UW[[#This Row],[AWSTop]]))</f>
        <v>#ERROR!</v>
      </c>
      <c r="AE77" s="29" t="str">
        <f>Targets_UW[[#This Row],[AWA+Leeway Top]]-Targets_UW[[#This Row],[ROT (deg)]]</f>
        <v>#ERROR!</v>
      </c>
      <c r="AF77" s="29" t="str">
        <f>Targets_UW[[#This Row],[CLEW (deg)]]+Targets_UW[[#This Row],[TWIST (deg)]]</f>
        <v>#ERROR!</v>
      </c>
      <c r="AG77" s="30" t="str">
        <f>Targets_UW[[#This Row],[AWA+Leeway Top]]-Targets_UW[[#This Row],[CA6]]</f>
        <v>#ERROR!</v>
      </c>
      <c r="AH77" s="29" t="str">
        <f>Targets_UW[[#This Row],[AWA+Leeway]]-Targets_UW[[#This Row],[JibLead (deg)]]</f>
        <v>#ERROR!</v>
      </c>
    </row>
    <row r="78" ht="14.25" customHeight="1">
      <c r="A78" s="27" t="s">
        <v>41</v>
      </c>
      <c r="B78" s="28" t="s">
        <v>38</v>
      </c>
      <c r="C78" s="28" t="s">
        <v>37</v>
      </c>
      <c r="D78" s="28">
        <v>24.0</v>
      </c>
      <c r="E78" s="28" t="str">
        <f t="shared" si="1"/>
        <v>H1_LAB2_LARW2-24m</v>
      </c>
      <c r="F78" s="28">
        <v>13.0</v>
      </c>
      <c r="G78" s="29" t="str">
        <f>ABS(Targets_UW[[#This Row],[BSP (km/h)]]*COS(RADIANS(Targets_UW[[#This Row],[TWA (deg)]]+Targets_UW[[#This Row],[LEEWAY (deg)]])))</f>
        <v>#ERROR!</v>
      </c>
      <c r="H78" s="29">
        <v>23.0</v>
      </c>
      <c r="I78" s="29">
        <v>55.0</v>
      </c>
      <c r="J78" s="29">
        <v>3.2</v>
      </c>
      <c r="K78" s="29">
        <v>2.0</v>
      </c>
      <c r="L78" s="29">
        <v>-9.0</v>
      </c>
      <c r="M78" s="29" t="str">
        <f>Targets_UW[[#This Row],[CANT (deg)]]-Targets_UW[[#This Row],[HEEL (deg)]]</f>
        <v>#ERROR!</v>
      </c>
      <c r="N78" s="29"/>
      <c r="O78" s="29">
        <v>0.0</v>
      </c>
      <c r="P78" s="29">
        <v>2.8</v>
      </c>
      <c r="Q78" s="29">
        <v>-0.8</v>
      </c>
      <c r="R78" s="29">
        <v>-28.5</v>
      </c>
      <c r="S78" s="29" t="str">
        <f>Targets_UW[[#This Row],[CLEW (deg)]]-0.5*Targets_UW[[#This Row],[CA1 (deg)]]</f>
        <v>#ERROR!</v>
      </c>
      <c r="T78" s="29">
        <v>-4.0</v>
      </c>
      <c r="U78" s="29">
        <v>10.0</v>
      </c>
      <c r="V78" s="29">
        <v>170.0</v>
      </c>
      <c r="W78" s="29">
        <v>7.7</v>
      </c>
      <c r="X78" s="29">
        <v>500.0</v>
      </c>
      <c r="Y78" s="29" t="str">
        <f>SQRT(Targets_UW[[#This Row],[TWS (km/h)]]^2+Targets_UW[[#This Row],[BSP (km/h)]]^2+2*Targets_UW[[#This Row],[TWS (km/h)]]*Targets_UW[[#This Row],[BSP (km/h)]]*COS(RADIANS(Targets_UW[[#This Row],[TWA (deg)]]+Targets_UW[[#This Row],[LEEWAY (deg)]])))</f>
        <v>#ERROR!</v>
      </c>
      <c r="Z78" s="29" t="str">
        <f>DEGREES(ASIN(Targets_UW[[#This Row],[TWS (km/h)]]*SIN(RADIANS(Targets_UW[[#This Row],[TWA (deg)]]+Targets_UW[[#This Row],[LEEWAY (deg)]]))/Targets_UW[[#This Row],[AWS]]))</f>
        <v>#ERROR!</v>
      </c>
      <c r="AA78" s="29" t="str">
        <f>Targets_UW[[#This Row],[AWA+Leeway]]-Targets_UW[[#This Row],[ROT (deg)]]</f>
        <v>#ERROR!</v>
      </c>
      <c r="AB78" s="29" t="str">
        <f>Targets_UW[[#This Row],[TWS (km/h)]]*(Targets_UW[[#This Row],[Wing]]/10)^0.1</f>
        <v>#ERROR!</v>
      </c>
      <c r="AC78" s="29" t="str">
        <f>SQRT(Targets_UW[[#This Row],[TWSTop]]^2+Targets_UW[[#This Row],[BSP (km/h)]]^2+2*Targets_UW[[#This Row],[BSP (km/h)]]*Targets_UW[[#This Row],[TWSTop]]*COS(RADIANS(Targets_UW[[#This Row],[TWA (deg)]]+Targets_UW[[#This Row],[LEEWAY (deg)]])))</f>
        <v>#ERROR!</v>
      </c>
      <c r="AD78" s="29" t="str">
        <f>DEGREES(ASIN(Targets_UW[[#This Row],[TWSTop]]*SIN(RADIANS(Targets_UW[[#This Row],[TWA (deg)]]+Targets_UW[[#This Row],[LEEWAY (deg)]]))/Targets_UW[[#This Row],[AWSTop]]))</f>
        <v>#ERROR!</v>
      </c>
      <c r="AE78" s="29" t="str">
        <f>Targets_UW[[#This Row],[AWA+Leeway Top]]-Targets_UW[[#This Row],[ROT (deg)]]</f>
        <v>#ERROR!</v>
      </c>
      <c r="AF78" s="29" t="str">
        <f>Targets_UW[[#This Row],[CLEW (deg)]]+Targets_UW[[#This Row],[TWIST (deg)]]</f>
        <v>#ERROR!</v>
      </c>
      <c r="AG78" s="30" t="str">
        <f>Targets_UW[[#This Row],[AWA+Leeway Top]]-Targets_UW[[#This Row],[CA6]]</f>
        <v>#ERROR!</v>
      </c>
      <c r="AH78" s="29" t="str">
        <f>Targets_UW[[#This Row],[AWA+Leeway]]-Targets_UW[[#This Row],[JibLead (deg)]]</f>
        <v>#ERROR!</v>
      </c>
    </row>
    <row r="79" ht="14.25" customHeight="1">
      <c r="A79" s="31" t="s">
        <v>41</v>
      </c>
      <c r="B79" s="32" t="s">
        <v>38</v>
      </c>
      <c r="C79" s="32" t="s">
        <v>37</v>
      </c>
      <c r="D79" s="32">
        <v>24.0</v>
      </c>
      <c r="E79" s="32" t="str">
        <f t="shared" si="1"/>
        <v>H1_LAB2_LARW2-24m</v>
      </c>
      <c r="F79" s="32">
        <v>14.0</v>
      </c>
      <c r="G79" s="33" t="str">
        <f>ABS(Targets_UW[[#This Row],[BSP (km/h)]]*COS(RADIANS(Targets_UW[[#This Row],[TWA (deg)]]+Targets_UW[[#This Row],[LEEWAY (deg)]])))</f>
        <v>#ERROR!</v>
      </c>
      <c r="H79" s="33">
        <v>24.0</v>
      </c>
      <c r="I79" s="33">
        <v>53.0</v>
      </c>
      <c r="J79" s="33">
        <v>3.5</v>
      </c>
      <c r="K79" s="33">
        <v>4.0</v>
      </c>
      <c r="L79" s="33">
        <v>-9.0</v>
      </c>
      <c r="M79" s="33" t="str">
        <f>Targets_UW[[#This Row],[CANT (deg)]]-Targets_UW[[#This Row],[HEEL (deg)]]</f>
        <v>#ERROR!</v>
      </c>
      <c r="N79" s="33"/>
      <c r="O79" s="33">
        <v>0.0</v>
      </c>
      <c r="P79" s="33">
        <v>2.8</v>
      </c>
      <c r="Q79" s="33">
        <v>-0.8</v>
      </c>
      <c r="R79" s="33">
        <v>-26.5</v>
      </c>
      <c r="S79" s="33" t="str">
        <f>Targets_UW[[#This Row],[CLEW (deg)]]-0.5*Targets_UW[[#This Row],[CA1 (deg)]]</f>
        <v>#ERROR!</v>
      </c>
      <c r="T79" s="33">
        <v>-3.0</v>
      </c>
      <c r="U79" s="33">
        <v>10.0</v>
      </c>
      <c r="V79" s="33">
        <v>200.0</v>
      </c>
      <c r="W79" s="33">
        <v>7.1</v>
      </c>
      <c r="X79" s="33">
        <v>600.0</v>
      </c>
      <c r="Y79" s="33" t="str">
        <f>SQRT(Targets_UW[[#This Row],[TWS (km/h)]]^2+Targets_UW[[#This Row],[BSP (km/h)]]^2+2*Targets_UW[[#This Row],[TWS (km/h)]]*Targets_UW[[#This Row],[BSP (km/h)]]*COS(RADIANS(Targets_UW[[#This Row],[TWA (deg)]]+Targets_UW[[#This Row],[LEEWAY (deg)]])))</f>
        <v>#ERROR!</v>
      </c>
      <c r="Z79" s="33" t="str">
        <f>DEGREES(ASIN(Targets_UW[[#This Row],[TWS (km/h)]]*SIN(RADIANS(Targets_UW[[#This Row],[TWA (deg)]]+Targets_UW[[#This Row],[LEEWAY (deg)]]))/Targets_UW[[#This Row],[AWS]]))</f>
        <v>#ERROR!</v>
      </c>
      <c r="AA79" s="33" t="str">
        <f>Targets_UW[[#This Row],[AWA+Leeway]]-Targets_UW[[#This Row],[ROT (deg)]]</f>
        <v>#ERROR!</v>
      </c>
      <c r="AB79" s="33" t="str">
        <f>Targets_UW[[#This Row],[TWS (km/h)]]*(Targets_UW[[#This Row],[Wing]]/10)^0.1</f>
        <v>#ERROR!</v>
      </c>
      <c r="AC79" s="33" t="str">
        <f>SQRT(Targets_UW[[#This Row],[TWSTop]]^2+Targets_UW[[#This Row],[BSP (km/h)]]^2+2*Targets_UW[[#This Row],[BSP (km/h)]]*Targets_UW[[#This Row],[TWSTop]]*COS(RADIANS(Targets_UW[[#This Row],[TWA (deg)]]+Targets_UW[[#This Row],[LEEWAY (deg)]])))</f>
        <v>#ERROR!</v>
      </c>
      <c r="AD79" s="33" t="str">
        <f>DEGREES(ASIN(Targets_UW[[#This Row],[TWSTop]]*SIN(RADIANS(Targets_UW[[#This Row],[TWA (deg)]]+Targets_UW[[#This Row],[LEEWAY (deg)]]))/Targets_UW[[#This Row],[AWSTop]]))</f>
        <v>#ERROR!</v>
      </c>
      <c r="AE79" s="33" t="str">
        <f>Targets_UW[[#This Row],[AWA+Leeway Top]]-Targets_UW[[#This Row],[ROT (deg)]]</f>
        <v>#ERROR!</v>
      </c>
      <c r="AF79" s="33" t="str">
        <f>Targets_UW[[#This Row],[CLEW (deg)]]+Targets_UW[[#This Row],[TWIST (deg)]]</f>
        <v>#ERROR!</v>
      </c>
      <c r="AG79" s="34" t="str">
        <f>Targets_UW[[#This Row],[AWA+Leeway Top]]-Targets_UW[[#This Row],[CA6]]</f>
        <v>#ERROR!</v>
      </c>
      <c r="AH79" s="29" t="str">
        <f>Targets_UW[[#This Row],[AWA+Leeway]]-Targets_UW[[#This Row],[JibLead (deg)]]</f>
        <v>#ERROR!</v>
      </c>
    </row>
    <row r="80" ht="14.25" customHeight="1">
      <c r="A80" s="31" t="s">
        <v>41</v>
      </c>
      <c r="B80" s="32" t="s">
        <v>38</v>
      </c>
      <c r="C80" s="32" t="s">
        <v>37</v>
      </c>
      <c r="D80" s="32">
        <v>24.0</v>
      </c>
      <c r="E80" s="32" t="str">
        <f t="shared" si="1"/>
        <v>H1_LAB2_LARW2-24m</v>
      </c>
      <c r="F80" s="32">
        <v>16.0</v>
      </c>
      <c r="G80" s="33" t="str">
        <f>ABS(Targets_UW[[#This Row],[BSP (km/h)]]*COS(RADIANS(Targets_UW[[#This Row],[TWA (deg)]]+Targets_UW[[#This Row],[LEEWAY (deg)]])))</f>
        <v>#ERROR!</v>
      </c>
      <c r="H80" s="33">
        <v>25.0</v>
      </c>
      <c r="I80" s="33">
        <v>50.0</v>
      </c>
      <c r="J80" s="33">
        <v>3.5</v>
      </c>
      <c r="K80" s="33">
        <v>5.0</v>
      </c>
      <c r="L80" s="33">
        <v>-9.0</v>
      </c>
      <c r="M80" s="33" t="str">
        <f>Targets_UW[[#This Row],[CANT (deg)]]-Targets_UW[[#This Row],[HEEL (deg)]]</f>
        <v>#ERROR!</v>
      </c>
      <c r="N80" s="33"/>
      <c r="O80" s="33">
        <v>0.0</v>
      </c>
      <c r="P80" s="33">
        <v>2.8</v>
      </c>
      <c r="Q80" s="33">
        <v>-0.6</v>
      </c>
      <c r="R80" s="33">
        <v>-25.0</v>
      </c>
      <c r="S80" s="33" t="str">
        <f>Targets_UW[[#This Row],[CLEW (deg)]]-0.5*Targets_UW[[#This Row],[CA1 (deg)]]</f>
        <v>#ERROR!</v>
      </c>
      <c r="T80" s="33">
        <v>-1.0</v>
      </c>
      <c r="U80" s="33">
        <v>10.0</v>
      </c>
      <c r="V80" s="33">
        <v>400.0</v>
      </c>
      <c r="W80" s="33">
        <v>7.0</v>
      </c>
      <c r="X80" s="33">
        <v>600.0</v>
      </c>
      <c r="Y80" s="33" t="str">
        <f>SQRT(Targets_UW[[#This Row],[TWS (km/h)]]^2+Targets_UW[[#This Row],[BSP (km/h)]]^2+2*Targets_UW[[#This Row],[TWS (km/h)]]*Targets_UW[[#This Row],[BSP (km/h)]]*COS(RADIANS(Targets_UW[[#This Row],[TWA (deg)]]+Targets_UW[[#This Row],[LEEWAY (deg)]])))</f>
        <v>#ERROR!</v>
      </c>
      <c r="Z80" s="33" t="str">
        <f>DEGREES(ASIN(Targets_UW[[#This Row],[TWS (km/h)]]*SIN(RADIANS(Targets_UW[[#This Row],[TWA (deg)]]+Targets_UW[[#This Row],[LEEWAY (deg)]]))/Targets_UW[[#This Row],[AWS]]))</f>
        <v>#ERROR!</v>
      </c>
      <c r="AA80" s="33" t="str">
        <f>Targets_UW[[#This Row],[AWA+Leeway]]-Targets_UW[[#This Row],[ROT (deg)]]</f>
        <v>#ERROR!</v>
      </c>
      <c r="AB80" s="33" t="str">
        <f>Targets_UW[[#This Row],[TWS (km/h)]]*(Targets_UW[[#This Row],[Wing]]/10)^0.1</f>
        <v>#ERROR!</v>
      </c>
      <c r="AC80" s="33" t="str">
        <f>SQRT(Targets_UW[[#This Row],[TWSTop]]^2+Targets_UW[[#This Row],[BSP (km/h)]]^2+2*Targets_UW[[#This Row],[BSP (km/h)]]*Targets_UW[[#This Row],[TWSTop]]*COS(RADIANS(Targets_UW[[#This Row],[TWA (deg)]]+Targets_UW[[#This Row],[LEEWAY (deg)]])))</f>
        <v>#ERROR!</v>
      </c>
      <c r="AD80" s="33" t="str">
        <f>DEGREES(ASIN(Targets_UW[[#This Row],[TWSTop]]*SIN(RADIANS(Targets_UW[[#This Row],[TWA (deg)]]+Targets_UW[[#This Row],[LEEWAY (deg)]]))/Targets_UW[[#This Row],[AWSTop]]))</f>
        <v>#ERROR!</v>
      </c>
      <c r="AE80" s="33" t="str">
        <f>Targets_UW[[#This Row],[AWA+Leeway Top]]-Targets_UW[[#This Row],[ROT (deg)]]</f>
        <v>#ERROR!</v>
      </c>
      <c r="AF80" s="33" t="str">
        <f>Targets_UW[[#This Row],[CLEW (deg)]]+Targets_UW[[#This Row],[TWIST (deg)]]</f>
        <v>#ERROR!</v>
      </c>
      <c r="AG80" s="34" t="str">
        <f>Targets_UW[[#This Row],[AWA+Leeway Top]]-Targets_UW[[#This Row],[CA6]]</f>
        <v>#ERROR!</v>
      </c>
      <c r="AH80" s="29" t="str">
        <f>Targets_UW[[#This Row],[AWA+Leeway]]-Targets_UW[[#This Row],[JibLead (deg)]]</f>
        <v>#ERROR!</v>
      </c>
    </row>
    <row r="81" ht="14.25" customHeight="1">
      <c r="A81" s="31" t="s">
        <v>41</v>
      </c>
      <c r="B81" s="32" t="s">
        <v>38</v>
      </c>
      <c r="C81" s="32" t="s">
        <v>37</v>
      </c>
      <c r="D81" s="32">
        <v>24.0</v>
      </c>
      <c r="E81" s="32" t="str">
        <f t="shared" si="1"/>
        <v>H1_LAB2_LARW2-24m</v>
      </c>
      <c r="F81" s="32">
        <v>18.0</v>
      </c>
      <c r="G81" s="33" t="str">
        <f>ABS(Targets_UW[[#This Row],[BSP (km/h)]]*COS(RADIANS(Targets_UW[[#This Row],[TWA (deg)]]+Targets_UW[[#This Row],[LEEWAY (deg)]])))</f>
        <v>#ERROR!</v>
      </c>
      <c r="H81" s="33">
        <v>25.0</v>
      </c>
      <c r="I81" s="33">
        <v>47.0</v>
      </c>
      <c r="J81" s="33">
        <v>3.5</v>
      </c>
      <c r="K81" s="33">
        <v>5.5</v>
      </c>
      <c r="L81" s="33">
        <v>-9.0</v>
      </c>
      <c r="M81" s="33" t="str">
        <f>Targets_UW[[#This Row],[CANT (deg)]]-Targets_UW[[#This Row],[HEEL (deg)]]</f>
        <v>#ERROR!</v>
      </c>
      <c r="N81" s="33"/>
      <c r="O81" s="33">
        <v>0.0</v>
      </c>
      <c r="P81" s="33">
        <v>2.8</v>
      </c>
      <c r="Q81" s="33">
        <v>-0.5</v>
      </c>
      <c r="R81" s="33">
        <v>-25.0</v>
      </c>
      <c r="S81" s="33" t="str">
        <f>Targets_UW[[#This Row],[CLEW (deg)]]-0.5*Targets_UW[[#This Row],[CA1 (deg)]]</f>
        <v>#ERROR!</v>
      </c>
      <c r="T81" s="33">
        <v>0.0</v>
      </c>
      <c r="U81" s="33">
        <v>10.0</v>
      </c>
      <c r="V81" s="33">
        <v>400.0</v>
      </c>
      <c r="W81" s="33">
        <v>7.0</v>
      </c>
      <c r="X81" s="33">
        <v>600.0</v>
      </c>
      <c r="Y81" s="33" t="str">
        <f>SQRT(Targets_UW[[#This Row],[TWS (km/h)]]^2+Targets_UW[[#This Row],[BSP (km/h)]]^2+2*Targets_UW[[#This Row],[TWS (km/h)]]*Targets_UW[[#This Row],[BSP (km/h)]]*COS(RADIANS(Targets_UW[[#This Row],[TWA (deg)]]+Targets_UW[[#This Row],[LEEWAY (deg)]])))</f>
        <v>#ERROR!</v>
      </c>
      <c r="Z81" s="33" t="str">
        <f>DEGREES(ASIN(Targets_UW[[#This Row],[TWS (km/h)]]*SIN(RADIANS(Targets_UW[[#This Row],[TWA (deg)]]+Targets_UW[[#This Row],[LEEWAY (deg)]]))/Targets_UW[[#This Row],[AWS]]))</f>
        <v>#ERROR!</v>
      </c>
      <c r="AA81" s="33" t="str">
        <f>Targets_UW[[#This Row],[AWA+Leeway]]-Targets_UW[[#This Row],[ROT (deg)]]</f>
        <v>#ERROR!</v>
      </c>
      <c r="AB81" s="33" t="str">
        <f>Targets_UW[[#This Row],[TWS (km/h)]]*(Targets_UW[[#This Row],[Wing]]/10)^0.1</f>
        <v>#ERROR!</v>
      </c>
      <c r="AC81" s="33" t="str">
        <f>SQRT(Targets_UW[[#This Row],[TWSTop]]^2+Targets_UW[[#This Row],[BSP (km/h)]]^2+2*Targets_UW[[#This Row],[BSP (km/h)]]*Targets_UW[[#This Row],[TWSTop]]*COS(RADIANS(Targets_UW[[#This Row],[TWA (deg)]]+Targets_UW[[#This Row],[LEEWAY (deg)]])))</f>
        <v>#ERROR!</v>
      </c>
      <c r="AD81" s="33" t="str">
        <f>DEGREES(ASIN(Targets_UW[[#This Row],[TWSTop]]*SIN(RADIANS(Targets_UW[[#This Row],[TWA (deg)]]+Targets_UW[[#This Row],[LEEWAY (deg)]]))/Targets_UW[[#This Row],[AWSTop]]))</f>
        <v>#ERROR!</v>
      </c>
      <c r="AE81" s="33" t="str">
        <f>Targets_UW[[#This Row],[AWA+Leeway Top]]-Targets_UW[[#This Row],[ROT (deg)]]</f>
        <v>#ERROR!</v>
      </c>
      <c r="AF81" s="33" t="str">
        <f>Targets_UW[[#This Row],[CLEW (deg)]]+Targets_UW[[#This Row],[TWIST (deg)]]</f>
        <v>#ERROR!</v>
      </c>
      <c r="AG81" s="34" t="str">
        <f>Targets_UW[[#This Row],[AWA+Leeway Top]]-Targets_UW[[#This Row],[CA6]]</f>
        <v>#ERROR!</v>
      </c>
      <c r="AH81" s="29" t="str">
        <f>Targets_UW[[#This Row],[AWA+Leeway]]-Targets_UW[[#This Row],[JibLead (deg)]]</f>
        <v>#ERROR!</v>
      </c>
    </row>
    <row r="82" ht="14.25" customHeight="1">
      <c r="A82" s="31" t="s">
        <v>41</v>
      </c>
      <c r="B82" s="32" t="s">
        <v>38</v>
      </c>
      <c r="C82" s="32" t="s">
        <v>37</v>
      </c>
      <c r="D82" s="32">
        <v>24.0</v>
      </c>
      <c r="E82" s="32" t="str">
        <f t="shared" si="1"/>
        <v>H1_LAB2_LARW2-24m</v>
      </c>
      <c r="F82" s="32">
        <v>20.0</v>
      </c>
      <c r="G82" s="33" t="str">
        <f>ABS(Targets_UW[[#This Row],[BSP (km/h)]]*COS(RADIANS(Targets_UW[[#This Row],[TWA (deg)]]+Targets_UW[[#This Row],[LEEWAY (deg)]])))</f>
        <v>#ERROR!</v>
      </c>
      <c r="H82" s="33">
        <v>25.0</v>
      </c>
      <c r="I82" s="33">
        <v>44.0</v>
      </c>
      <c r="J82" s="33">
        <v>3.5</v>
      </c>
      <c r="K82" s="33">
        <v>5.5</v>
      </c>
      <c r="L82" s="33">
        <v>-9.0</v>
      </c>
      <c r="M82" s="33" t="str">
        <f>Targets_UW[[#This Row],[CANT (deg)]]-Targets_UW[[#This Row],[HEEL (deg)]]</f>
        <v>#ERROR!</v>
      </c>
      <c r="N82" s="33"/>
      <c r="O82" s="33">
        <v>0.0</v>
      </c>
      <c r="P82" s="33">
        <v>2.8</v>
      </c>
      <c r="Q82" s="33">
        <v>-0.5</v>
      </c>
      <c r="R82" s="33">
        <v>-25.0</v>
      </c>
      <c r="S82" s="33" t="str">
        <f>Targets_UW[[#This Row],[CLEW (deg)]]-0.5*Targets_UW[[#This Row],[CA1 (deg)]]</f>
        <v>#ERROR!</v>
      </c>
      <c r="T82" s="33">
        <v>0.0</v>
      </c>
      <c r="U82" s="33">
        <v>10.0</v>
      </c>
      <c r="V82" s="33">
        <v>400.0</v>
      </c>
      <c r="W82" s="33">
        <v>7.0</v>
      </c>
      <c r="X82" s="33">
        <v>600.0</v>
      </c>
      <c r="Y82" s="33" t="str">
        <f>SQRT(Targets_UW[[#This Row],[TWS (km/h)]]^2+Targets_UW[[#This Row],[BSP (km/h)]]^2+2*Targets_UW[[#This Row],[TWS (km/h)]]*Targets_UW[[#This Row],[BSP (km/h)]]*COS(RADIANS(Targets_UW[[#This Row],[TWA (deg)]]+Targets_UW[[#This Row],[LEEWAY (deg)]])))</f>
        <v>#ERROR!</v>
      </c>
      <c r="Z82" s="33" t="str">
        <f>DEGREES(ASIN(Targets_UW[[#This Row],[TWS (km/h)]]*SIN(RADIANS(Targets_UW[[#This Row],[TWA (deg)]]+Targets_UW[[#This Row],[LEEWAY (deg)]]))/Targets_UW[[#This Row],[AWS]]))</f>
        <v>#ERROR!</v>
      </c>
      <c r="AA82" s="33" t="str">
        <f>Targets_UW[[#This Row],[AWA+Leeway]]-Targets_UW[[#This Row],[ROT (deg)]]</f>
        <v>#ERROR!</v>
      </c>
      <c r="AB82" s="33" t="str">
        <f>Targets_UW[[#This Row],[TWS (km/h)]]*(Targets_UW[[#This Row],[Wing]]/10)^0.1</f>
        <v>#ERROR!</v>
      </c>
      <c r="AC82" s="33" t="str">
        <f>SQRT(Targets_UW[[#This Row],[TWSTop]]^2+Targets_UW[[#This Row],[BSP (km/h)]]^2+2*Targets_UW[[#This Row],[BSP (km/h)]]*Targets_UW[[#This Row],[TWSTop]]*COS(RADIANS(Targets_UW[[#This Row],[TWA (deg)]]+Targets_UW[[#This Row],[LEEWAY (deg)]])))</f>
        <v>#ERROR!</v>
      </c>
      <c r="AD82" s="33" t="str">
        <f>DEGREES(ASIN(Targets_UW[[#This Row],[TWSTop]]*SIN(RADIANS(Targets_UW[[#This Row],[TWA (deg)]]+Targets_UW[[#This Row],[LEEWAY (deg)]]))/Targets_UW[[#This Row],[AWSTop]]))</f>
        <v>#ERROR!</v>
      </c>
      <c r="AE82" s="33" t="str">
        <f>Targets_UW[[#This Row],[AWA+Leeway Top]]-Targets_UW[[#This Row],[ROT (deg)]]</f>
        <v>#ERROR!</v>
      </c>
      <c r="AF82" s="33" t="str">
        <f>Targets_UW[[#This Row],[CLEW (deg)]]+Targets_UW[[#This Row],[TWIST (deg)]]</f>
        <v>#ERROR!</v>
      </c>
      <c r="AG82" s="34" t="str">
        <f>Targets_UW[[#This Row],[AWA+Leeway Top]]-Targets_UW[[#This Row],[CA6]]</f>
        <v>#ERROR!</v>
      </c>
      <c r="AH82" s="29" t="str">
        <f>Targets_UW[[#This Row],[AWA+Leeway]]-Targets_UW[[#This Row],[JibLead (deg)]]</f>
        <v>#ERROR!</v>
      </c>
    </row>
    <row r="83" ht="14.25" customHeight="1">
      <c r="A83" s="15" t="s">
        <v>39</v>
      </c>
      <c r="B83" s="16" t="s">
        <v>38</v>
      </c>
      <c r="C83" s="16" t="s">
        <v>37</v>
      </c>
      <c r="D83" s="16">
        <v>27.5</v>
      </c>
      <c r="E83" s="16" t="str">
        <f t="shared" si="1"/>
        <v>H2_LAB2_LARW2-27.5m</v>
      </c>
      <c r="F83" s="16">
        <v>8.0</v>
      </c>
      <c r="G83" s="17" t="str">
        <f>ABS(Targets_UW[[#This Row],[BSP (km/h)]]*COS(RADIANS(Targets_UW[[#This Row],[TWA (deg)]]+Targets_UW[[#This Row],[LEEWAY (deg)]])))</f>
        <v>#ERROR!</v>
      </c>
      <c r="H83" s="17">
        <v>12.0</v>
      </c>
      <c r="I83" s="17">
        <v>47.0</v>
      </c>
      <c r="J83" s="17">
        <v>3.5</v>
      </c>
      <c r="K83" s="17">
        <v>2.5</v>
      </c>
      <c r="L83" s="17">
        <v>-1.5</v>
      </c>
      <c r="M83" s="17" t="str">
        <f>Targets_UW[[#This Row],[CANT (deg)]]-Targets_UW[[#This Row],[HEEL (deg)]]</f>
        <v>#ERROR!</v>
      </c>
      <c r="N83" s="17"/>
      <c r="O83" s="17">
        <v>0.0</v>
      </c>
      <c r="P83" s="17">
        <v>2.7</v>
      </c>
      <c r="Q83" s="17">
        <v>-0.3</v>
      </c>
      <c r="R83" s="17">
        <v>-33.0</v>
      </c>
      <c r="S83" s="17" t="str">
        <f>Targets_UW[[#This Row],[CLEW (deg)]]-0.5*Targets_UW[[#This Row],[CA1 (deg)]]</f>
        <v>#ERROR!</v>
      </c>
      <c r="T83" s="17">
        <v>-2.0</v>
      </c>
      <c r="U83" s="17">
        <v>7.8</v>
      </c>
      <c r="V83" s="17">
        <v>60.0</v>
      </c>
      <c r="W83" s="17">
        <v>6.6</v>
      </c>
      <c r="X83" s="17">
        <v>200.0</v>
      </c>
      <c r="Y83" s="17" t="str">
        <f>SQRT(Targets_UW[[#This Row],[TWS (km/h)]]^2+Targets_UW[[#This Row],[BSP (km/h)]]^2+2*Targets_UW[[#This Row],[TWS (km/h)]]*Targets_UW[[#This Row],[BSP (km/h)]]*COS(RADIANS(Targets_UW[[#This Row],[TWA (deg)]]+Targets_UW[[#This Row],[LEEWAY (deg)]])))</f>
        <v>#ERROR!</v>
      </c>
      <c r="Z83" s="17" t="str">
        <f>DEGREES(ASIN(Targets_UW[[#This Row],[TWS (km/h)]]*SIN(RADIANS(Targets_UW[[#This Row],[TWA (deg)]]+Targets_UW[[#This Row],[LEEWAY (deg)]]))/Targets_UW[[#This Row],[AWS]]))</f>
        <v>#ERROR!</v>
      </c>
      <c r="AA83" s="17" t="str">
        <f>Targets_UW[[#This Row],[AWA+Leeway]]-Targets_UW[[#This Row],[ROT (deg)]]</f>
        <v>#ERROR!</v>
      </c>
      <c r="AB83" s="17" t="str">
        <f>Targets_UW[[#This Row],[TWS (km/h)]]*(Targets_UW[[#This Row],[Wing]]/10)^0.1</f>
        <v>#ERROR!</v>
      </c>
      <c r="AC83" s="17" t="str">
        <f>SQRT(Targets_UW[[#This Row],[TWSTop]]^2+Targets_UW[[#This Row],[BSP (km/h)]]^2+2*Targets_UW[[#This Row],[BSP (km/h)]]*Targets_UW[[#This Row],[TWSTop]]*COS(RADIANS(Targets_UW[[#This Row],[TWA (deg)]]+Targets_UW[[#This Row],[LEEWAY (deg)]])))</f>
        <v>#ERROR!</v>
      </c>
      <c r="AD83" s="17" t="str">
        <f>DEGREES(ASIN(Targets_UW[[#This Row],[TWSTop]]*SIN(RADIANS(Targets_UW[[#This Row],[TWA (deg)]]+Targets_UW[[#This Row],[LEEWAY (deg)]]))/Targets_UW[[#This Row],[AWSTop]]))</f>
        <v>#ERROR!</v>
      </c>
      <c r="AE83" s="17" t="str">
        <f>Targets_UW[[#This Row],[AWA+Leeway Top]]-Targets_UW[[#This Row],[ROT (deg)]]</f>
        <v>#ERROR!</v>
      </c>
      <c r="AF83" s="17" t="str">
        <f>Targets_UW[[#This Row],[CLEW (deg)]]+Targets_UW[[#This Row],[TWIST (deg)]]</f>
        <v>#ERROR!</v>
      </c>
      <c r="AG83" s="18" t="str">
        <f>Targets_UW[[#This Row],[AWA+Leeway Top]]-Targets_UW[[#This Row],[CA6]]</f>
        <v>#ERROR!</v>
      </c>
      <c r="AH83" s="19" t="str">
        <f>Targets_UW[[#This Row],[AWA+Leeway]]-Targets_UW[[#This Row],[JibLead (deg)]]</f>
        <v>#ERROR!</v>
      </c>
    </row>
    <row r="84" ht="14.25" customHeight="1">
      <c r="A84" s="20" t="s">
        <v>39</v>
      </c>
      <c r="B84" s="21" t="s">
        <v>38</v>
      </c>
      <c r="C84" s="21" t="s">
        <v>37</v>
      </c>
      <c r="D84" s="21">
        <v>27.5</v>
      </c>
      <c r="E84" s="21" t="str">
        <f t="shared" si="1"/>
        <v>H2_LAB2_LARW2-27.5m</v>
      </c>
      <c r="F84" s="21">
        <v>9.0</v>
      </c>
      <c r="G84" s="19" t="str">
        <f>ABS(Targets_UW[[#This Row],[BSP (km/h)]]*COS(RADIANS(Targets_UW[[#This Row],[TWA (deg)]]+Targets_UW[[#This Row],[LEEWAY (deg)]])))</f>
        <v>#ERROR!</v>
      </c>
      <c r="H84" s="19">
        <v>13.5</v>
      </c>
      <c r="I84" s="19">
        <v>45.0</v>
      </c>
      <c r="J84" s="19">
        <v>3.5</v>
      </c>
      <c r="K84" s="19">
        <v>2.0</v>
      </c>
      <c r="L84" s="19">
        <v>-2.0</v>
      </c>
      <c r="M84" s="19" t="str">
        <f>Targets_UW[[#This Row],[CANT (deg)]]-Targets_UW[[#This Row],[HEEL (deg)]]</f>
        <v>#ERROR!</v>
      </c>
      <c r="N84" s="19"/>
      <c r="O84" s="19">
        <v>0.0</v>
      </c>
      <c r="P84" s="19">
        <v>2.7</v>
      </c>
      <c r="Q84" s="19">
        <v>-0.3</v>
      </c>
      <c r="R84" s="19">
        <v>-33.0</v>
      </c>
      <c r="S84" s="19" t="str">
        <f>Targets_UW[[#This Row],[CLEW (deg)]]-0.5*Targets_UW[[#This Row],[CA1 (deg)]]</f>
        <v>#ERROR!</v>
      </c>
      <c r="T84" s="19">
        <v>-2.0</v>
      </c>
      <c r="U84" s="19">
        <v>7.0</v>
      </c>
      <c r="V84" s="19">
        <v>75.0</v>
      </c>
      <c r="W84" s="19">
        <v>5.8</v>
      </c>
      <c r="X84" s="19">
        <v>300.0</v>
      </c>
      <c r="Y84" s="19" t="str">
        <f>SQRT(Targets_UW[[#This Row],[TWS (km/h)]]^2+Targets_UW[[#This Row],[BSP (km/h)]]^2+2*Targets_UW[[#This Row],[TWS (km/h)]]*Targets_UW[[#This Row],[BSP (km/h)]]*COS(RADIANS(Targets_UW[[#This Row],[TWA (deg)]]+Targets_UW[[#This Row],[LEEWAY (deg)]])))</f>
        <v>#ERROR!</v>
      </c>
      <c r="Z84" s="19" t="str">
        <f>DEGREES(ASIN(Targets_UW[[#This Row],[TWS (km/h)]]*SIN(RADIANS(Targets_UW[[#This Row],[TWA (deg)]]+Targets_UW[[#This Row],[LEEWAY (deg)]]))/Targets_UW[[#This Row],[AWS]]))</f>
        <v>#ERROR!</v>
      </c>
      <c r="AA84" s="19" t="str">
        <f>Targets_UW[[#This Row],[AWA+Leeway]]-Targets_UW[[#This Row],[ROT (deg)]]</f>
        <v>#ERROR!</v>
      </c>
      <c r="AB84" s="19" t="str">
        <f>Targets_UW[[#This Row],[TWS (km/h)]]*(Targets_UW[[#This Row],[Wing]]/10)^0.1</f>
        <v>#ERROR!</v>
      </c>
      <c r="AC84" s="19" t="str">
        <f>SQRT(Targets_UW[[#This Row],[TWSTop]]^2+Targets_UW[[#This Row],[BSP (km/h)]]^2+2*Targets_UW[[#This Row],[BSP (km/h)]]*Targets_UW[[#This Row],[TWSTop]]*COS(RADIANS(Targets_UW[[#This Row],[TWA (deg)]]+Targets_UW[[#This Row],[LEEWAY (deg)]])))</f>
        <v>#ERROR!</v>
      </c>
      <c r="AD84" s="19" t="str">
        <f>DEGREES(ASIN(Targets_UW[[#This Row],[TWSTop]]*SIN(RADIANS(Targets_UW[[#This Row],[TWA (deg)]]+Targets_UW[[#This Row],[LEEWAY (deg)]]))/Targets_UW[[#This Row],[AWSTop]]))</f>
        <v>#ERROR!</v>
      </c>
      <c r="AE84" s="19" t="str">
        <f>Targets_UW[[#This Row],[AWA+Leeway Top]]-Targets_UW[[#This Row],[ROT (deg)]]</f>
        <v>#ERROR!</v>
      </c>
      <c r="AF84" s="19" t="str">
        <f>Targets_UW[[#This Row],[CLEW (deg)]]+Targets_UW[[#This Row],[TWIST (deg)]]</f>
        <v>#ERROR!</v>
      </c>
      <c r="AG84" s="22" t="str">
        <f>Targets_UW[[#This Row],[AWA+Leeway Top]]-Targets_UW[[#This Row],[CA6]]</f>
        <v>#ERROR!</v>
      </c>
      <c r="AH84" s="19" t="str">
        <f>Targets_UW[[#This Row],[AWA+Leeway]]-Targets_UW[[#This Row],[JibLead (deg)]]</f>
        <v>#ERROR!</v>
      </c>
    </row>
    <row r="85" ht="14.25" customHeight="1">
      <c r="A85" s="20" t="s">
        <v>39</v>
      </c>
      <c r="B85" s="21" t="s">
        <v>38</v>
      </c>
      <c r="C85" s="21" t="s">
        <v>37</v>
      </c>
      <c r="D85" s="21">
        <v>27.5</v>
      </c>
      <c r="E85" s="21" t="str">
        <f t="shared" si="1"/>
        <v>H2_LAB2_LARW2-27.5m</v>
      </c>
      <c r="F85" s="21">
        <v>10.0</v>
      </c>
      <c r="G85" s="19" t="str">
        <f>ABS(Targets_UW[[#This Row],[BSP (km/h)]]*COS(RADIANS(Targets_UW[[#This Row],[TWA (deg)]]+Targets_UW[[#This Row],[LEEWAY (deg)]])))</f>
        <v>#ERROR!</v>
      </c>
      <c r="H85" s="19">
        <v>14.0</v>
      </c>
      <c r="I85" s="19">
        <v>42.0</v>
      </c>
      <c r="J85" s="19">
        <v>3.5</v>
      </c>
      <c r="K85" s="19">
        <v>1.5</v>
      </c>
      <c r="L85" s="19">
        <v>-2.5</v>
      </c>
      <c r="M85" s="19" t="str">
        <f>Targets_UW[[#This Row],[CANT (deg)]]-Targets_UW[[#This Row],[HEEL (deg)]]</f>
        <v>#ERROR!</v>
      </c>
      <c r="N85" s="19"/>
      <c r="O85" s="19">
        <v>0.0</v>
      </c>
      <c r="P85" s="19">
        <v>2.7</v>
      </c>
      <c r="Q85" s="19">
        <v>-0.3</v>
      </c>
      <c r="R85" s="19">
        <v>-33.0</v>
      </c>
      <c r="S85" s="19" t="str">
        <f>Targets_UW[[#This Row],[CLEW (deg)]]-0.5*Targets_UW[[#This Row],[CA1 (deg)]]</f>
        <v>#ERROR!</v>
      </c>
      <c r="T85" s="19">
        <v>-2.0</v>
      </c>
      <c r="U85" s="19">
        <v>6.5</v>
      </c>
      <c r="V85" s="19">
        <v>90.0</v>
      </c>
      <c r="W85" s="19">
        <v>5.5</v>
      </c>
      <c r="X85" s="19">
        <v>400.0</v>
      </c>
      <c r="Y85" s="19" t="str">
        <f>SQRT(Targets_UW[[#This Row],[TWS (km/h)]]^2+Targets_UW[[#This Row],[BSP (km/h)]]^2+2*Targets_UW[[#This Row],[TWS (km/h)]]*Targets_UW[[#This Row],[BSP (km/h)]]*COS(RADIANS(Targets_UW[[#This Row],[TWA (deg)]]+Targets_UW[[#This Row],[LEEWAY (deg)]])))</f>
        <v>#ERROR!</v>
      </c>
      <c r="Z85" s="19" t="str">
        <f>DEGREES(ASIN(Targets_UW[[#This Row],[TWS (km/h)]]*SIN(RADIANS(Targets_UW[[#This Row],[TWA (deg)]]+Targets_UW[[#This Row],[LEEWAY (deg)]]))/Targets_UW[[#This Row],[AWS]]))</f>
        <v>#ERROR!</v>
      </c>
      <c r="AA85" s="19" t="str">
        <f>Targets_UW[[#This Row],[AWA+Leeway]]-Targets_UW[[#This Row],[ROT (deg)]]</f>
        <v>#ERROR!</v>
      </c>
      <c r="AB85" s="19" t="str">
        <f>Targets_UW[[#This Row],[TWS (km/h)]]*(Targets_UW[[#This Row],[Wing]]/10)^0.1</f>
        <v>#ERROR!</v>
      </c>
      <c r="AC85" s="19" t="str">
        <f>SQRT(Targets_UW[[#This Row],[TWSTop]]^2+Targets_UW[[#This Row],[BSP (km/h)]]^2+2*Targets_UW[[#This Row],[BSP (km/h)]]*Targets_UW[[#This Row],[TWSTop]]*COS(RADIANS(Targets_UW[[#This Row],[TWA (deg)]]+Targets_UW[[#This Row],[LEEWAY (deg)]])))</f>
        <v>#ERROR!</v>
      </c>
      <c r="AD85" s="19" t="str">
        <f>DEGREES(ASIN(Targets_UW[[#This Row],[TWSTop]]*SIN(RADIANS(Targets_UW[[#This Row],[TWA (deg)]]+Targets_UW[[#This Row],[LEEWAY (deg)]]))/Targets_UW[[#This Row],[AWSTop]]))</f>
        <v>#ERROR!</v>
      </c>
      <c r="AE85" s="19" t="str">
        <f>Targets_UW[[#This Row],[AWA+Leeway Top]]-Targets_UW[[#This Row],[ROT (deg)]]</f>
        <v>#ERROR!</v>
      </c>
      <c r="AF85" s="19" t="str">
        <f>Targets_UW[[#This Row],[CLEW (deg)]]+Targets_UW[[#This Row],[TWIST (deg)]]</f>
        <v>#ERROR!</v>
      </c>
      <c r="AG85" s="22" t="str">
        <f>Targets_UW[[#This Row],[AWA+Leeway Top]]-Targets_UW[[#This Row],[CA6]]</f>
        <v>#ERROR!</v>
      </c>
      <c r="AH85" s="19" t="str">
        <f>Targets_UW[[#This Row],[AWA+Leeway]]-Targets_UW[[#This Row],[JibLead (deg)]]</f>
        <v>#ERROR!</v>
      </c>
    </row>
    <row r="86" ht="14.25" customHeight="1">
      <c r="A86" s="23" t="s">
        <v>40</v>
      </c>
      <c r="B86" s="24" t="s">
        <v>38</v>
      </c>
      <c r="C86" s="24" t="s">
        <v>37</v>
      </c>
      <c r="D86" s="24">
        <v>27.5</v>
      </c>
      <c r="E86" s="24" t="str">
        <f t="shared" si="1"/>
        <v>H1-2B_LAB2_LARW2-27.5m</v>
      </c>
      <c r="F86" s="24">
        <v>8.0</v>
      </c>
      <c r="G86" s="25" t="str">
        <f>ABS(Targets_UW[[#This Row],[BSP (km/h)]]*COS(RADIANS(Targets_UW[[#This Row],[TWA (deg)]]+Targets_UW[[#This Row],[LEEWAY (deg)]])))</f>
        <v>#ERROR!</v>
      </c>
      <c r="H86" s="25">
        <v>17.0</v>
      </c>
      <c r="I86" s="25">
        <v>60.0</v>
      </c>
      <c r="J86" s="25">
        <v>4.5</v>
      </c>
      <c r="K86" s="25">
        <v>0.0</v>
      </c>
      <c r="L86" s="25">
        <v>-9.0</v>
      </c>
      <c r="M86" s="25" t="str">
        <f>Targets_UW[[#This Row],[CANT (deg)]]-Targets_UW[[#This Row],[HEEL (deg)]]</f>
        <v>#ERROR!</v>
      </c>
      <c r="N86" s="25"/>
      <c r="O86" s="25">
        <v>0.0</v>
      </c>
      <c r="P86" s="25">
        <v>3.3</v>
      </c>
      <c r="Q86" s="25">
        <v>-0.5</v>
      </c>
      <c r="R86" s="25">
        <v>-33.0</v>
      </c>
      <c r="S86" s="25" t="str">
        <f>Targets_UW[[#This Row],[CLEW (deg)]]-0.5*Targets_UW[[#This Row],[CA1 (deg)]]</f>
        <v>#ERROR!</v>
      </c>
      <c r="T86" s="25">
        <v>-4.0</v>
      </c>
      <c r="U86" s="25">
        <v>6.5</v>
      </c>
      <c r="V86" s="25">
        <v>70.0</v>
      </c>
      <c r="W86" s="25">
        <v>5.5</v>
      </c>
      <c r="X86" s="25">
        <v>290.0</v>
      </c>
      <c r="Y86" s="25" t="str">
        <f>SQRT(Targets_UW[[#This Row],[TWS (km/h)]]^2+Targets_UW[[#This Row],[BSP (km/h)]]^2+2*Targets_UW[[#This Row],[TWS (km/h)]]*Targets_UW[[#This Row],[BSP (km/h)]]*COS(RADIANS(Targets_UW[[#This Row],[TWA (deg)]]+Targets_UW[[#This Row],[LEEWAY (deg)]])))</f>
        <v>#ERROR!</v>
      </c>
      <c r="Z86" s="25" t="str">
        <f>DEGREES(ASIN(Targets_UW[[#This Row],[TWS (km/h)]]*SIN(RADIANS(Targets_UW[[#This Row],[TWA (deg)]]+Targets_UW[[#This Row],[LEEWAY (deg)]]))/Targets_UW[[#This Row],[AWS]]))</f>
        <v>#ERROR!</v>
      </c>
      <c r="AA86" s="25" t="str">
        <f>Targets_UW[[#This Row],[AWA+Leeway]]-Targets_UW[[#This Row],[ROT (deg)]]</f>
        <v>#ERROR!</v>
      </c>
      <c r="AB86" s="25" t="str">
        <f>Targets_UW[[#This Row],[TWS (km/h)]]*(Targets_UW[[#This Row],[Wing]]/10)^0.1</f>
        <v>#ERROR!</v>
      </c>
      <c r="AC86" s="25" t="str">
        <f>SQRT(Targets_UW[[#This Row],[TWSTop]]^2+Targets_UW[[#This Row],[BSP (km/h)]]^2+2*Targets_UW[[#This Row],[BSP (km/h)]]*Targets_UW[[#This Row],[TWSTop]]*COS(RADIANS(Targets_UW[[#This Row],[TWA (deg)]]+Targets_UW[[#This Row],[LEEWAY (deg)]])))</f>
        <v>#ERROR!</v>
      </c>
      <c r="AD86" s="25" t="str">
        <f>DEGREES(ASIN(Targets_UW[[#This Row],[TWSTop]]*SIN(RADIANS(Targets_UW[[#This Row],[TWA (deg)]]+Targets_UW[[#This Row],[LEEWAY (deg)]]))/Targets_UW[[#This Row],[AWSTop]]))</f>
        <v>#ERROR!</v>
      </c>
      <c r="AE86" s="25" t="str">
        <f>Targets_UW[[#This Row],[AWA+Leeway Top]]-Targets_UW[[#This Row],[ROT (deg)]]</f>
        <v>#ERROR!</v>
      </c>
      <c r="AF86" s="25" t="str">
        <f>Targets_UW[[#This Row],[CLEW (deg)]]+Targets_UW[[#This Row],[TWIST (deg)]]</f>
        <v>#ERROR!</v>
      </c>
      <c r="AG86" s="26" t="str">
        <f>Targets_UW[[#This Row],[AWA+Leeway Top]]-Targets_UW[[#This Row],[CA6]]</f>
        <v>#ERROR!</v>
      </c>
      <c r="AH86" s="25" t="str">
        <f>Targets_UW[[#This Row],[AWA+Leeway]]-Targets_UW[[#This Row],[JibLead (deg)]]</f>
        <v>#ERROR!</v>
      </c>
    </row>
    <row r="87" ht="14.25" customHeight="1">
      <c r="A87" s="23" t="s">
        <v>40</v>
      </c>
      <c r="B87" s="24" t="s">
        <v>38</v>
      </c>
      <c r="C87" s="24" t="s">
        <v>37</v>
      </c>
      <c r="D87" s="24">
        <v>27.5</v>
      </c>
      <c r="E87" s="24" t="str">
        <f t="shared" si="1"/>
        <v>H1-2B_LAB2_LARW2-27.5m</v>
      </c>
      <c r="F87" s="24">
        <v>9.0</v>
      </c>
      <c r="G87" s="25" t="str">
        <f>ABS(Targets_UW[[#This Row],[BSP (km/h)]]*COS(RADIANS(Targets_UW[[#This Row],[TWA (deg)]]+Targets_UW[[#This Row],[LEEWAY (deg)]])))</f>
        <v>#ERROR!</v>
      </c>
      <c r="H87" s="25">
        <v>17.0</v>
      </c>
      <c r="I87" s="25">
        <v>55.0</v>
      </c>
      <c r="J87" s="25">
        <v>4.5</v>
      </c>
      <c r="K87" s="25">
        <v>0.0</v>
      </c>
      <c r="L87" s="25">
        <v>-9.0</v>
      </c>
      <c r="M87" s="25" t="str">
        <f>Targets_UW[[#This Row],[CANT (deg)]]-Targets_UW[[#This Row],[HEEL (deg)]]</f>
        <v>#ERROR!</v>
      </c>
      <c r="N87" s="25"/>
      <c r="O87" s="25">
        <v>0.0</v>
      </c>
      <c r="P87" s="25">
        <v>3.3</v>
      </c>
      <c r="Q87" s="25">
        <v>-0.5</v>
      </c>
      <c r="R87" s="25">
        <v>-33.0</v>
      </c>
      <c r="S87" s="25" t="str">
        <f>Targets_UW[[#This Row],[CLEW (deg)]]-0.5*Targets_UW[[#This Row],[CA1 (deg)]]</f>
        <v>#ERROR!</v>
      </c>
      <c r="T87" s="25">
        <v>-4.0</v>
      </c>
      <c r="U87" s="25">
        <v>6.8</v>
      </c>
      <c r="V87" s="25">
        <v>90.0</v>
      </c>
      <c r="W87" s="25">
        <v>5.8</v>
      </c>
      <c r="X87" s="25">
        <v>400.0</v>
      </c>
      <c r="Y87" s="25" t="str">
        <f>SQRT(Targets_UW[[#This Row],[TWS (km/h)]]^2+Targets_UW[[#This Row],[BSP (km/h)]]^2+2*Targets_UW[[#This Row],[TWS (km/h)]]*Targets_UW[[#This Row],[BSP (km/h)]]*COS(RADIANS(Targets_UW[[#This Row],[TWA (deg)]]+Targets_UW[[#This Row],[LEEWAY (deg)]])))</f>
        <v>#ERROR!</v>
      </c>
      <c r="Z87" s="25" t="str">
        <f>DEGREES(ASIN(Targets_UW[[#This Row],[TWS (km/h)]]*SIN(RADIANS(Targets_UW[[#This Row],[TWA (deg)]]+Targets_UW[[#This Row],[LEEWAY (deg)]]))/Targets_UW[[#This Row],[AWS]]))</f>
        <v>#ERROR!</v>
      </c>
      <c r="AA87" s="25" t="str">
        <f>Targets_UW[[#This Row],[AWA+Leeway]]-Targets_UW[[#This Row],[ROT (deg)]]</f>
        <v>#ERROR!</v>
      </c>
      <c r="AB87" s="25" t="str">
        <f>Targets_UW[[#This Row],[TWS (km/h)]]*(Targets_UW[[#This Row],[Wing]]/10)^0.1</f>
        <v>#ERROR!</v>
      </c>
      <c r="AC87" s="25" t="str">
        <f>SQRT(Targets_UW[[#This Row],[TWSTop]]^2+Targets_UW[[#This Row],[BSP (km/h)]]^2+2*Targets_UW[[#This Row],[BSP (km/h)]]*Targets_UW[[#This Row],[TWSTop]]*COS(RADIANS(Targets_UW[[#This Row],[TWA (deg)]]+Targets_UW[[#This Row],[LEEWAY (deg)]])))</f>
        <v>#ERROR!</v>
      </c>
      <c r="AD87" s="25" t="str">
        <f>DEGREES(ASIN(Targets_UW[[#This Row],[TWSTop]]*SIN(RADIANS(Targets_UW[[#This Row],[TWA (deg)]]+Targets_UW[[#This Row],[LEEWAY (deg)]]))/Targets_UW[[#This Row],[AWSTop]]))</f>
        <v>#ERROR!</v>
      </c>
      <c r="AE87" s="25" t="str">
        <f>Targets_UW[[#This Row],[AWA+Leeway Top]]-Targets_UW[[#This Row],[ROT (deg)]]</f>
        <v>#ERROR!</v>
      </c>
      <c r="AF87" s="25" t="str">
        <f>Targets_UW[[#This Row],[CLEW (deg)]]+Targets_UW[[#This Row],[TWIST (deg)]]</f>
        <v>#ERROR!</v>
      </c>
      <c r="AG87" s="26" t="str">
        <f>Targets_UW[[#This Row],[AWA+Leeway Top]]-Targets_UW[[#This Row],[CA6]]</f>
        <v>#ERROR!</v>
      </c>
      <c r="AH87" s="25" t="str">
        <f>Targets_UW[[#This Row],[AWA+Leeway]]-Targets_UW[[#This Row],[JibLead (deg)]]</f>
        <v>#ERROR!</v>
      </c>
    </row>
    <row r="88" ht="14.25" customHeight="1">
      <c r="A88" s="23" t="s">
        <v>40</v>
      </c>
      <c r="B88" s="24" t="s">
        <v>38</v>
      </c>
      <c r="C88" s="24" t="s">
        <v>37</v>
      </c>
      <c r="D88" s="24">
        <v>27.5</v>
      </c>
      <c r="E88" s="24" t="str">
        <f t="shared" si="1"/>
        <v>H1-2B_LAB2_LARW2-27.5m</v>
      </c>
      <c r="F88" s="24">
        <v>10.0</v>
      </c>
      <c r="G88" s="25" t="str">
        <f>ABS(Targets_UW[[#This Row],[BSP (km/h)]]*COS(RADIANS(Targets_UW[[#This Row],[TWA (deg)]]+Targets_UW[[#This Row],[LEEWAY (deg)]])))</f>
        <v>#ERROR!</v>
      </c>
      <c r="H88" s="25">
        <v>17.0</v>
      </c>
      <c r="I88" s="25">
        <v>51.0</v>
      </c>
      <c r="J88" s="25">
        <v>4.5</v>
      </c>
      <c r="K88" s="25">
        <v>0.0</v>
      </c>
      <c r="L88" s="25">
        <v>-9.0</v>
      </c>
      <c r="M88" s="25" t="str">
        <f>Targets_UW[[#This Row],[CANT (deg)]]-Targets_UW[[#This Row],[HEEL (deg)]]</f>
        <v>#ERROR!</v>
      </c>
      <c r="N88" s="25"/>
      <c r="O88" s="25">
        <v>0.0</v>
      </c>
      <c r="P88" s="25">
        <v>3.3</v>
      </c>
      <c r="Q88" s="25">
        <v>-0.5</v>
      </c>
      <c r="R88" s="25">
        <v>-33.0</v>
      </c>
      <c r="S88" s="25" t="str">
        <f>Targets_UW[[#This Row],[CLEW (deg)]]-0.5*Targets_UW[[#This Row],[CA1 (deg)]]</f>
        <v>#ERROR!</v>
      </c>
      <c r="T88" s="25">
        <v>-4.0</v>
      </c>
      <c r="U88" s="25">
        <v>6.9</v>
      </c>
      <c r="V88" s="25">
        <v>100.0</v>
      </c>
      <c r="W88" s="25">
        <v>6.0</v>
      </c>
      <c r="X88" s="25">
        <v>475.0</v>
      </c>
      <c r="Y88" s="25" t="str">
        <f>SQRT(Targets_UW[[#This Row],[TWS (km/h)]]^2+Targets_UW[[#This Row],[BSP (km/h)]]^2+2*Targets_UW[[#This Row],[TWS (km/h)]]*Targets_UW[[#This Row],[BSP (km/h)]]*COS(RADIANS(Targets_UW[[#This Row],[TWA (deg)]]+Targets_UW[[#This Row],[LEEWAY (deg)]])))</f>
        <v>#ERROR!</v>
      </c>
      <c r="Z88" s="25" t="str">
        <f>DEGREES(ASIN(Targets_UW[[#This Row],[TWS (km/h)]]*SIN(RADIANS(Targets_UW[[#This Row],[TWA (deg)]]+Targets_UW[[#This Row],[LEEWAY (deg)]]))/Targets_UW[[#This Row],[AWS]]))</f>
        <v>#ERROR!</v>
      </c>
      <c r="AA88" s="25" t="str">
        <f>Targets_UW[[#This Row],[AWA+Leeway]]-Targets_UW[[#This Row],[ROT (deg)]]</f>
        <v>#ERROR!</v>
      </c>
      <c r="AB88" s="25" t="str">
        <f>Targets_UW[[#This Row],[TWS (km/h)]]*(Targets_UW[[#This Row],[Wing]]/10)^0.1</f>
        <v>#ERROR!</v>
      </c>
      <c r="AC88" s="25" t="str">
        <f>SQRT(Targets_UW[[#This Row],[TWSTop]]^2+Targets_UW[[#This Row],[BSP (km/h)]]^2+2*Targets_UW[[#This Row],[BSP (km/h)]]*Targets_UW[[#This Row],[TWSTop]]*COS(RADIANS(Targets_UW[[#This Row],[TWA (deg)]]+Targets_UW[[#This Row],[LEEWAY (deg)]])))</f>
        <v>#ERROR!</v>
      </c>
      <c r="AD88" s="25" t="str">
        <f>DEGREES(ASIN(Targets_UW[[#This Row],[TWSTop]]*SIN(RADIANS(Targets_UW[[#This Row],[TWA (deg)]]+Targets_UW[[#This Row],[LEEWAY (deg)]]))/Targets_UW[[#This Row],[AWSTop]]))</f>
        <v>#ERROR!</v>
      </c>
      <c r="AE88" s="25" t="str">
        <f>Targets_UW[[#This Row],[AWA+Leeway Top]]-Targets_UW[[#This Row],[ROT (deg)]]</f>
        <v>#ERROR!</v>
      </c>
      <c r="AF88" s="25" t="str">
        <f>Targets_UW[[#This Row],[CLEW (deg)]]+Targets_UW[[#This Row],[TWIST (deg)]]</f>
        <v>#ERROR!</v>
      </c>
      <c r="AG88" s="26" t="str">
        <f>Targets_UW[[#This Row],[AWA+Leeway Top]]-Targets_UW[[#This Row],[CA6]]</f>
        <v>#ERROR!</v>
      </c>
      <c r="AH88" s="25" t="str">
        <f>Targets_UW[[#This Row],[AWA+Leeway]]-Targets_UW[[#This Row],[JibLead (deg)]]</f>
        <v>#ERROR!</v>
      </c>
    </row>
    <row r="89" ht="14.25" customHeight="1">
      <c r="A89" s="23" t="s">
        <v>40</v>
      </c>
      <c r="B89" s="24" t="s">
        <v>38</v>
      </c>
      <c r="C89" s="24" t="s">
        <v>37</v>
      </c>
      <c r="D89" s="24">
        <v>27.5</v>
      </c>
      <c r="E89" s="24" t="str">
        <f t="shared" si="1"/>
        <v>H1-2B_LAB2_LARW2-27.5m</v>
      </c>
      <c r="F89" s="24">
        <v>11.0</v>
      </c>
      <c r="G89" s="25" t="str">
        <f>ABS(Targets_UW[[#This Row],[BSP (km/h)]]*COS(RADIANS(Targets_UW[[#This Row],[TWA (deg)]]+Targets_UW[[#This Row],[LEEWAY (deg)]])))</f>
        <v>#ERROR!</v>
      </c>
      <c r="H89" s="25">
        <v>17.0</v>
      </c>
      <c r="I89" s="25">
        <v>48.0</v>
      </c>
      <c r="J89" s="25">
        <v>4.5</v>
      </c>
      <c r="K89" s="25">
        <v>0.0</v>
      </c>
      <c r="L89" s="25">
        <v>-9.0</v>
      </c>
      <c r="M89" s="25" t="str">
        <f>Targets_UW[[#This Row],[CANT (deg)]]-Targets_UW[[#This Row],[HEEL (deg)]]</f>
        <v>#ERROR!</v>
      </c>
      <c r="N89" s="25"/>
      <c r="O89" s="25">
        <v>0.0</v>
      </c>
      <c r="P89" s="25">
        <v>3.3</v>
      </c>
      <c r="Q89" s="25">
        <v>-0.5</v>
      </c>
      <c r="R89" s="25">
        <v>-33.0</v>
      </c>
      <c r="S89" s="25" t="str">
        <f>Targets_UW[[#This Row],[CLEW (deg)]]-0.5*Targets_UW[[#This Row],[CA1 (deg)]]</f>
        <v>#ERROR!</v>
      </c>
      <c r="T89" s="25">
        <v>-4.0</v>
      </c>
      <c r="U89" s="25">
        <v>7.1</v>
      </c>
      <c r="V89" s="25">
        <v>110.0</v>
      </c>
      <c r="W89" s="25">
        <v>6.2</v>
      </c>
      <c r="X89" s="25">
        <v>530.0</v>
      </c>
      <c r="Y89" s="25" t="str">
        <f>SQRT(Targets_UW[[#This Row],[TWS (km/h)]]^2+Targets_UW[[#This Row],[BSP (km/h)]]^2+2*Targets_UW[[#This Row],[TWS (km/h)]]*Targets_UW[[#This Row],[BSP (km/h)]]*COS(RADIANS(Targets_UW[[#This Row],[TWA (deg)]]+Targets_UW[[#This Row],[LEEWAY (deg)]])))</f>
        <v>#ERROR!</v>
      </c>
      <c r="Z89" s="25" t="str">
        <f>DEGREES(ASIN(Targets_UW[[#This Row],[TWS (km/h)]]*SIN(RADIANS(Targets_UW[[#This Row],[TWA (deg)]]+Targets_UW[[#This Row],[LEEWAY (deg)]]))/Targets_UW[[#This Row],[AWS]]))</f>
        <v>#ERROR!</v>
      </c>
      <c r="AA89" s="25" t="str">
        <f>Targets_UW[[#This Row],[AWA+Leeway]]-Targets_UW[[#This Row],[ROT (deg)]]</f>
        <v>#ERROR!</v>
      </c>
      <c r="AB89" s="25" t="str">
        <f>Targets_UW[[#This Row],[TWS (km/h)]]*(Targets_UW[[#This Row],[Wing]]/10)^0.1</f>
        <v>#ERROR!</v>
      </c>
      <c r="AC89" s="25" t="str">
        <f>SQRT(Targets_UW[[#This Row],[TWSTop]]^2+Targets_UW[[#This Row],[BSP (km/h)]]^2+2*Targets_UW[[#This Row],[BSP (km/h)]]*Targets_UW[[#This Row],[TWSTop]]*COS(RADIANS(Targets_UW[[#This Row],[TWA (deg)]]+Targets_UW[[#This Row],[LEEWAY (deg)]])))</f>
        <v>#ERROR!</v>
      </c>
      <c r="AD89" s="25" t="str">
        <f>DEGREES(ASIN(Targets_UW[[#This Row],[TWSTop]]*SIN(RADIANS(Targets_UW[[#This Row],[TWA (deg)]]+Targets_UW[[#This Row],[LEEWAY (deg)]]))/Targets_UW[[#This Row],[AWSTop]]))</f>
        <v>#ERROR!</v>
      </c>
      <c r="AE89" s="25" t="str">
        <f>Targets_UW[[#This Row],[AWA+Leeway Top]]-Targets_UW[[#This Row],[ROT (deg)]]</f>
        <v>#ERROR!</v>
      </c>
      <c r="AF89" s="25" t="str">
        <f>Targets_UW[[#This Row],[CLEW (deg)]]+Targets_UW[[#This Row],[TWIST (deg)]]</f>
        <v>#ERROR!</v>
      </c>
      <c r="AG89" s="26" t="str">
        <f>Targets_UW[[#This Row],[AWA+Leeway Top]]-Targets_UW[[#This Row],[CA6]]</f>
        <v>#ERROR!</v>
      </c>
      <c r="AH89" s="25" t="str">
        <f>Targets_UW[[#This Row],[AWA+Leeway]]-Targets_UW[[#This Row],[JibLead (deg)]]</f>
        <v>#ERROR!</v>
      </c>
    </row>
    <row r="90" ht="14.25" customHeight="1">
      <c r="A90" s="27" t="s">
        <v>41</v>
      </c>
      <c r="B90" s="28" t="s">
        <v>38</v>
      </c>
      <c r="C90" s="28" t="s">
        <v>37</v>
      </c>
      <c r="D90" s="28">
        <v>27.5</v>
      </c>
      <c r="E90" s="28" t="str">
        <f t="shared" si="1"/>
        <v>H1_LAB2_LARW2-27.5m</v>
      </c>
      <c r="F90" s="28">
        <v>10.0</v>
      </c>
      <c r="G90" s="29" t="str">
        <f>ABS(Targets_UW[[#This Row],[BSP (km/h)]]*COS(RADIANS(Targets_UW[[#This Row],[TWA (deg)]]+Targets_UW[[#This Row],[LEEWAY (deg)]])))</f>
        <v>#ERROR!</v>
      </c>
      <c r="H90" s="29">
        <v>18.5</v>
      </c>
      <c r="I90" s="29">
        <v>53.0</v>
      </c>
      <c r="J90" s="29">
        <v>3.0</v>
      </c>
      <c r="K90" s="29">
        <v>0.0</v>
      </c>
      <c r="L90" s="29">
        <v>-10.0</v>
      </c>
      <c r="M90" s="29" t="str">
        <f>Targets_UW[[#This Row],[CANT (deg)]]-Targets_UW[[#This Row],[HEEL (deg)]]</f>
        <v>#ERROR!</v>
      </c>
      <c r="N90" s="29"/>
      <c r="O90" s="29">
        <v>0.0</v>
      </c>
      <c r="P90" s="29">
        <v>2.8</v>
      </c>
      <c r="Q90" s="29">
        <v>-0.8</v>
      </c>
      <c r="R90" s="29">
        <v>-34.0</v>
      </c>
      <c r="S90" s="29" t="str">
        <f>Targets_UW[[#This Row],[CLEW (deg)]]-0.5*Targets_UW[[#This Row],[CA1 (deg)]]</f>
        <v>#ERROR!</v>
      </c>
      <c r="T90" s="29">
        <v>-4.0</v>
      </c>
      <c r="U90" s="29">
        <v>6.0</v>
      </c>
      <c r="V90" s="29">
        <v>110.0</v>
      </c>
      <c r="W90" s="29">
        <v>5.7</v>
      </c>
      <c r="X90" s="29">
        <v>530.0</v>
      </c>
      <c r="Y90" s="29" t="str">
        <f>SQRT(Targets_UW[[#This Row],[TWS (km/h)]]^2+Targets_UW[[#This Row],[BSP (km/h)]]^2+2*Targets_UW[[#This Row],[TWS (km/h)]]*Targets_UW[[#This Row],[BSP (km/h)]]*COS(RADIANS(Targets_UW[[#This Row],[TWA (deg)]]+Targets_UW[[#This Row],[LEEWAY (deg)]])))</f>
        <v>#ERROR!</v>
      </c>
      <c r="Z90" s="29" t="str">
        <f>DEGREES(ASIN(Targets_UW[[#This Row],[TWS (km/h)]]*SIN(RADIANS(Targets_UW[[#This Row],[TWA (deg)]]+Targets_UW[[#This Row],[LEEWAY (deg)]]))/Targets_UW[[#This Row],[AWS]]))</f>
        <v>#ERROR!</v>
      </c>
      <c r="AA90" s="29" t="str">
        <f>Targets_UW[[#This Row],[AWA+Leeway]]-Targets_UW[[#This Row],[ROT (deg)]]</f>
        <v>#ERROR!</v>
      </c>
      <c r="AB90" s="29" t="str">
        <f>Targets_UW[[#This Row],[TWS (km/h)]]*(Targets_UW[[#This Row],[Wing]]/10)^0.1</f>
        <v>#ERROR!</v>
      </c>
      <c r="AC90" s="29" t="str">
        <f>SQRT(Targets_UW[[#This Row],[TWSTop]]^2+Targets_UW[[#This Row],[BSP (km/h)]]^2+2*Targets_UW[[#This Row],[BSP (km/h)]]*Targets_UW[[#This Row],[TWSTop]]*COS(RADIANS(Targets_UW[[#This Row],[TWA (deg)]]+Targets_UW[[#This Row],[LEEWAY (deg)]])))</f>
        <v>#ERROR!</v>
      </c>
      <c r="AD90" s="29" t="str">
        <f>DEGREES(ASIN(Targets_UW[[#This Row],[TWSTop]]*SIN(RADIANS(Targets_UW[[#This Row],[TWA (deg)]]+Targets_UW[[#This Row],[LEEWAY (deg)]]))/Targets_UW[[#This Row],[AWSTop]]))</f>
        <v>#ERROR!</v>
      </c>
      <c r="AE90" s="29" t="str">
        <f>Targets_UW[[#This Row],[AWA+Leeway Top]]-Targets_UW[[#This Row],[ROT (deg)]]</f>
        <v>#ERROR!</v>
      </c>
      <c r="AF90" s="29" t="str">
        <f>Targets_UW[[#This Row],[CLEW (deg)]]+Targets_UW[[#This Row],[TWIST (deg)]]</f>
        <v>#ERROR!</v>
      </c>
      <c r="AG90" s="30" t="str">
        <f>Targets_UW[[#This Row],[AWA+Leeway Top]]-Targets_UW[[#This Row],[CA6]]</f>
        <v>#ERROR!</v>
      </c>
      <c r="AH90" s="29" t="str">
        <f>Targets_UW[[#This Row],[AWA+Leeway]]-Targets_UW[[#This Row],[JibLead (deg)]]</f>
        <v>#ERROR!</v>
      </c>
    </row>
    <row r="91" ht="14.25" customHeight="1">
      <c r="A91" s="27" t="s">
        <v>41</v>
      </c>
      <c r="B91" s="28" t="s">
        <v>38</v>
      </c>
      <c r="C91" s="28" t="s">
        <v>37</v>
      </c>
      <c r="D91" s="28">
        <v>27.5</v>
      </c>
      <c r="E91" s="28" t="str">
        <f t="shared" si="1"/>
        <v>H1_LAB2_LARW2-27.5m</v>
      </c>
      <c r="F91" s="28">
        <v>11.0</v>
      </c>
      <c r="G91" s="29" t="str">
        <f>ABS(Targets_UW[[#This Row],[BSP (km/h)]]*COS(RADIANS(Targets_UW[[#This Row],[TWA (deg)]]+Targets_UW[[#This Row],[LEEWAY (deg)]])))</f>
        <v>#ERROR!</v>
      </c>
      <c r="H91" s="29">
        <v>19.0</v>
      </c>
      <c r="I91" s="29">
        <v>50.5</v>
      </c>
      <c r="J91" s="29">
        <v>3.0</v>
      </c>
      <c r="K91" s="29">
        <v>2.0</v>
      </c>
      <c r="L91" s="29">
        <v>-10.0</v>
      </c>
      <c r="M91" s="29" t="str">
        <f>Targets_UW[[#This Row],[CANT (deg)]]-Targets_UW[[#This Row],[HEEL (deg)]]</f>
        <v>#ERROR!</v>
      </c>
      <c r="N91" s="29"/>
      <c r="O91" s="29">
        <v>0.0</v>
      </c>
      <c r="P91" s="29">
        <v>2.8</v>
      </c>
      <c r="Q91" s="29">
        <v>-0.8</v>
      </c>
      <c r="R91" s="29">
        <v>-34.0</v>
      </c>
      <c r="S91" s="29" t="str">
        <f>Targets_UW[[#This Row],[CLEW (deg)]]-0.5*Targets_UW[[#This Row],[CA1 (deg)]]</f>
        <v>#ERROR!</v>
      </c>
      <c r="T91" s="29">
        <v>-4.0</v>
      </c>
      <c r="U91" s="29">
        <v>9.0</v>
      </c>
      <c r="V91" s="29">
        <v>125.0</v>
      </c>
      <c r="W91" s="29">
        <v>5.8</v>
      </c>
      <c r="X91" s="29">
        <v>600.0</v>
      </c>
      <c r="Y91" s="29" t="str">
        <f>SQRT(Targets_UW[[#This Row],[TWS (km/h)]]^2+Targets_UW[[#This Row],[BSP (km/h)]]^2+2*Targets_UW[[#This Row],[TWS (km/h)]]*Targets_UW[[#This Row],[BSP (km/h)]]*COS(RADIANS(Targets_UW[[#This Row],[TWA (deg)]]+Targets_UW[[#This Row],[LEEWAY (deg)]])))</f>
        <v>#ERROR!</v>
      </c>
      <c r="Z91" s="29" t="str">
        <f>DEGREES(ASIN(Targets_UW[[#This Row],[TWS (km/h)]]*SIN(RADIANS(Targets_UW[[#This Row],[TWA (deg)]]+Targets_UW[[#This Row],[LEEWAY (deg)]]))/Targets_UW[[#This Row],[AWS]]))</f>
        <v>#ERROR!</v>
      </c>
      <c r="AA91" s="29" t="str">
        <f>Targets_UW[[#This Row],[AWA+Leeway]]-Targets_UW[[#This Row],[ROT (deg)]]</f>
        <v>#ERROR!</v>
      </c>
      <c r="AB91" s="29" t="str">
        <f>Targets_UW[[#This Row],[TWS (km/h)]]*(Targets_UW[[#This Row],[Wing]]/10)^0.1</f>
        <v>#ERROR!</v>
      </c>
      <c r="AC91" s="29" t="str">
        <f>SQRT(Targets_UW[[#This Row],[TWSTop]]^2+Targets_UW[[#This Row],[BSP (km/h)]]^2+2*Targets_UW[[#This Row],[BSP (km/h)]]*Targets_UW[[#This Row],[TWSTop]]*COS(RADIANS(Targets_UW[[#This Row],[TWA (deg)]]+Targets_UW[[#This Row],[LEEWAY (deg)]])))</f>
        <v>#ERROR!</v>
      </c>
      <c r="AD91" s="29" t="str">
        <f>DEGREES(ASIN(Targets_UW[[#This Row],[TWSTop]]*SIN(RADIANS(Targets_UW[[#This Row],[TWA (deg)]]+Targets_UW[[#This Row],[LEEWAY (deg)]]))/Targets_UW[[#This Row],[AWSTop]]))</f>
        <v>#ERROR!</v>
      </c>
      <c r="AE91" s="29" t="str">
        <f>Targets_UW[[#This Row],[AWA+Leeway Top]]-Targets_UW[[#This Row],[ROT (deg)]]</f>
        <v>#ERROR!</v>
      </c>
      <c r="AF91" s="29" t="str">
        <f>Targets_UW[[#This Row],[CLEW (deg)]]+Targets_UW[[#This Row],[TWIST (deg)]]</f>
        <v>#ERROR!</v>
      </c>
      <c r="AG91" s="30" t="str">
        <f>Targets_UW[[#This Row],[AWA+Leeway Top]]-Targets_UW[[#This Row],[CA6]]</f>
        <v>#ERROR!</v>
      </c>
      <c r="AH91" s="29" t="str">
        <f>Targets_UW[[#This Row],[AWA+Leeway]]-Targets_UW[[#This Row],[JibLead (deg)]]</f>
        <v>#ERROR!</v>
      </c>
    </row>
    <row r="92" ht="14.25" customHeight="1">
      <c r="A92" s="31" t="s">
        <v>41</v>
      </c>
      <c r="B92" s="32" t="s">
        <v>38</v>
      </c>
      <c r="C92" s="32" t="s">
        <v>37</v>
      </c>
      <c r="D92" s="32">
        <v>27.5</v>
      </c>
      <c r="E92" s="32" t="str">
        <f t="shared" si="1"/>
        <v>H1_LAB2_LARW2-27.5m</v>
      </c>
      <c r="F92" s="32">
        <v>12.0</v>
      </c>
      <c r="G92" s="33" t="str">
        <f>ABS(Targets_UW[[#This Row],[BSP (km/h)]]*COS(RADIANS(Targets_UW[[#This Row],[TWA (deg)]]+Targets_UW[[#This Row],[LEEWAY (deg)]])))</f>
        <v>#ERROR!</v>
      </c>
      <c r="H92" s="33">
        <v>20.0</v>
      </c>
      <c r="I92" s="33">
        <v>49.5</v>
      </c>
      <c r="J92" s="33">
        <v>3.0</v>
      </c>
      <c r="K92" s="33">
        <v>4.0</v>
      </c>
      <c r="L92" s="33">
        <v>-10.0</v>
      </c>
      <c r="M92" s="33" t="str">
        <f>Targets_UW[[#This Row],[CANT (deg)]]-Targets_UW[[#This Row],[HEEL (deg)]]</f>
        <v>#ERROR!</v>
      </c>
      <c r="N92" s="33"/>
      <c r="O92" s="33">
        <v>0.0</v>
      </c>
      <c r="P92" s="33">
        <v>2.8</v>
      </c>
      <c r="Q92" s="33">
        <v>-0.8</v>
      </c>
      <c r="R92" s="33">
        <v>-34.0</v>
      </c>
      <c r="S92" s="33" t="str">
        <f>Targets_UW[[#This Row],[CLEW (deg)]]-0.5*Targets_UW[[#This Row],[CA1 (deg)]]</f>
        <v>#ERROR!</v>
      </c>
      <c r="T92" s="33">
        <v>-4.0</v>
      </c>
      <c r="U92" s="33">
        <v>11.0</v>
      </c>
      <c r="V92" s="33">
        <v>140.0</v>
      </c>
      <c r="W92" s="33">
        <v>5.9</v>
      </c>
      <c r="X92" s="33">
        <v>650.0</v>
      </c>
      <c r="Y92" s="33" t="str">
        <f>SQRT(Targets_UW[[#This Row],[TWS (km/h)]]^2+Targets_UW[[#This Row],[BSP (km/h)]]^2+2*Targets_UW[[#This Row],[TWS (km/h)]]*Targets_UW[[#This Row],[BSP (km/h)]]*COS(RADIANS(Targets_UW[[#This Row],[TWA (deg)]]+Targets_UW[[#This Row],[LEEWAY (deg)]])))</f>
        <v>#ERROR!</v>
      </c>
      <c r="Z92" s="33" t="str">
        <f>DEGREES(ASIN(Targets_UW[[#This Row],[TWS (km/h)]]*SIN(RADIANS(Targets_UW[[#This Row],[TWA (deg)]]+Targets_UW[[#This Row],[LEEWAY (deg)]]))/Targets_UW[[#This Row],[AWS]]))</f>
        <v>#ERROR!</v>
      </c>
      <c r="AA92" s="33" t="str">
        <f>Targets_UW[[#This Row],[AWA+Leeway]]-Targets_UW[[#This Row],[ROT (deg)]]</f>
        <v>#ERROR!</v>
      </c>
      <c r="AB92" s="33" t="str">
        <f>Targets_UW[[#This Row],[TWS (km/h)]]*(Targets_UW[[#This Row],[Wing]]/10)^0.1</f>
        <v>#ERROR!</v>
      </c>
      <c r="AC92" s="33" t="str">
        <f>SQRT(Targets_UW[[#This Row],[TWSTop]]^2+Targets_UW[[#This Row],[BSP (km/h)]]^2+2*Targets_UW[[#This Row],[BSP (km/h)]]*Targets_UW[[#This Row],[TWSTop]]*COS(RADIANS(Targets_UW[[#This Row],[TWA (deg)]]+Targets_UW[[#This Row],[LEEWAY (deg)]])))</f>
        <v>#ERROR!</v>
      </c>
      <c r="AD92" s="33" t="str">
        <f>DEGREES(ASIN(Targets_UW[[#This Row],[TWSTop]]*SIN(RADIANS(Targets_UW[[#This Row],[TWA (deg)]]+Targets_UW[[#This Row],[LEEWAY (deg)]]))/Targets_UW[[#This Row],[AWSTop]]))</f>
        <v>#ERROR!</v>
      </c>
      <c r="AE92" s="33" t="str">
        <f>Targets_UW[[#This Row],[AWA+Leeway Top]]-Targets_UW[[#This Row],[ROT (deg)]]</f>
        <v>#ERROR!</v>
      </c>
      <c r="AF92" s="33" t="str">
        <f>Targets_UW[[#This Row],[CLEW (deg)]]+Targets_UW[[#This Row],[TWIST (deg)]]</f>
        <v>#ERROR!</v>
      </c>
      <c r="AG92" s="34" t="str">
        <f>Targets_UW[[#This Row],[AWA+Leeway Top]]-Targets_UW[[#This Row],[CA6]]</f>
        <v>#ERROR!</v>
      </c>
      <c r="AH92" s="29" t="str">
        <f>Targets_UW[[#This Row],[AWA+Leeway]]-Targets_UW[[#This Row],[JibLead (deg)]]</f>
        <v>#ERROR!</v>
      </c>
    </row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7.38"/>
    <col customWidth="1" min="3" max="3" width="10.5"/>
    <col customWidth="1" min="4" max="4" width="8.38"/>
    <col customWidth="1" min="5" max="5" width="25.0"/>
    <col customWidth="1" min="6" max="6" width="13.5"/>
    <col customWidth="1" min="7" max="7" width="13.88"/>
    <col customWidth="1" min="8" max="8" width="13.38"/>
    <col customWidth="1" min="9" max="9" width="12.38"/>
    <col customWidth="1" min="10" max="10" width="15.63"/>
    <col customWidth="1" min="11" max="11" width="13.38"/>
    <col customWidth="1" min="12" max="12" width="13.0"/>
    <col customWidth="1" min="13" max="13" width="16.5"/>
    <col customWidth="1" min="14" max="14" width="14.13"/>
    <col customWidth="1" min="15" max="16" width="12.38"/>
    <col customWidth="1" min="17" max="17" width="13.88"/>
    <col customWidth="1" min="18" max="18" width="12.38"/>
    <col customWidth="1" min="19" max="19" width="12.13"/>
    <col customWidth="1" min="20" max="20" width="13.5"/>
    <col customWidth="1" min="21" max="21" width="13.88"/>
    <col customWidth="1" min="22" max="22" width="14.5"/>
    <col customWidth="1" min="23" max="23" width="15.13"/>
    <col customWidth="1" min="24" max="24" width="15.5"/>
    <col customWidth="1" min="25" max="25" width="8.0"/>
    <col customWidth="1" min="26" max="26" width="15.38"/>
    <col customWidth="1" min="27" max="27" width="10.63"/>
    <col customWidth="1" min="28" max="28" width="11.0"/>
    <col customWidth="1" min="29" max="29" width="11.13"/>
    <col customWidth="1" min="30" max="30" width="19.0"/>
    <col customWidth="1" min="31" max="31" width="13.88"/>
    <col customWidth="1" min="32" max="32" width="7.63"/>
    <col customWidth="1" min="33" max="33" width="15.63"/>
    <col customWidth="1" min="34" max="34" width="15.0"/>
  </cols>
  <sheetData>
    <row r="1" ht="14.25" customHeight="1">
      <c r="A1" s="2" t="s">
        <v>42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</row>
    <row r="2" ht="14.25" customHeight="1">
      <c r="A2" s="3" t="s">
        <v>34</v>
      </c>
      <c r="B2" s="4" t="s">
        <v>35</v>
      </c>
      <c r="C2" s="4" t="s">
        <v>36</v>
      </c>
      <c r="D2" s="4">
        <v>24.0</v>
      </c>
      <c r="E2" s="4" t="str">
        <f t="shared" ref="E2:E83" si="1">A2 &amp; "_" &amp; B2 &amp; "_" &amp; C2 &amp; "-" &amp; D2 &amp; "m"</f>
        <v>Foiling_HSB2_HSRW2-24m</v>
      </c>
      <c r="F2" s="4">
        <v>14.0</v>
      </c>
      <c r="G2" s="5" t="str">
        <f>ABS(Targets_DW[[#This Row],[BSP (km/h)]]*COS(RADIANS(Targets_DW[[#This Row],[TWA (deg)]]+Targets_DW[[#This Row],[LEEWAY (deg)]])))</f>
        <v>#ERROR!</v>
      </c>
      <c r="H2" s="5">
        <v>50.0</v>
      </c>
      <c r="I2" s="5">
        <v>122.0</v>
      </c>
      <c r="J2" s="5">
        <v>1.1</v>
      </c>
      <c r="K2" s="5">
        <v>1.4</v>
      </c>
      <c r="L2" s="5">
        <v>1.0</v>
      </c>
      <c r="M2" s="5" t="str">
        <f>Targets_DW[[#This Row],[CANT (deg)]]-Targets_DW[[#This Row],[HEEL (deg)]]</f>
        <v>#ERROR!</v>
      </c>
      <c r="N2" s="5">
        <v>1400.0</v>
      </c>
      <c r="O2" s="5">
        <v>1.48</v>
      </c>
      <c r="P2" s="5">
        <v>4.6</v>
      </c>
      <c r="Q2" s="5">
        <v>-2.7</v>
      </c>
      <c r="R2" s="5">
        <v>-26.0</v>
      </c>
      <c r="S2" s="5" t="str">
        <f>Targets_DW[[#This Row],[CLEW (deg)]]-0.5*Targets_DW[[#This Row],[CA1 (deg)]]</f>
        <v>#ERROR!</v>
      </c>
      <c r="T2" s="5">
        <v>-0.5</v>
      </c>
      <c r="U2" s="5">
        <v>13.0</v>
      </c>
      <c r="V2" s="5">
        <v>375.0</v>
      </c>
      <c r="W2" s="5">
        <v>6.0</v>
      </c>
      <c r="X2" s="5">
        <v>480.0</v>
      </c>
      <c r="Y2" s="5" t="str">
        <f>SQRT(Targets_DW[[#This Row],[TWS (km/h)]]^2+Targets_DW[[#This Row],[BSP (km/h)]]^2+2*Targets_DW[[#This Row],[TWS (km/h)]]*Targets_DW[[#This Row],[BSP (km/h)]]*COS(RADIANS(Targets_DW[[#This Row],[TWA (deg)]]+Targets_DW[[#This Row],[LEEWAY (deg)]])))</f>
        <v>#ERROR!</v>
      </c>
      <c r="Z2" s="5" t="str">
        <f>DEGREES(ASIN(Targets_DW[[#This Row],[TWS (km/h)]]*SIN(RADIANS(Targets_DW[[#This Row],[TWA (deg)]]+Targets_DW[[#This Row],[LEEWAY (deg)]]))/Targets_DW[[#This Row],[AWS]]))</f>
        <v>#ERROR!</v>
      </c>
      <c r="AA2" s="5" t="str">
        <f>Targets_DW[[#This Row],[AWA+Leeway]]-Targets_DW[[#This Row],[ROT (deg)]]</f>
        <v>#ERROR!</v>
      </c>
      <c r="AB2" s="5" t="str">
        <f>Targets_DW[[#This Row],[TWS (km/h)]]*(Targets_DW[[#This Row],[Wing]]/10)^0.1</f>
        <v>#ERROR!</v>
      </c>
      <c r="AC2" s="5" t="str">
        <f>SQRT(Targets_DW[[#This Row],[TWSTop]]^2+Targets_DW[[#This Row],[BSP (km/h)]]^2+2*Targets_DW[[#This Row],[BSP (km/h)]]*Targets_DW[[#This Row],[TWSTop]]*COS(RADIANS(Targets_DW[[#This Row],[TWA (deg)]]+Targets_DW[[#This Row],[LEEWAY (deg)]])))</f>
        <v>#ERROR!</v>
      </c>
      <c r="AD2" s="5" t="str">
        <f>DEGREES(ASIN(Targets_DW[[#This Row],[TWSTop]]*SIN(RADIANS(Targets_DW[[#This Row],[TWA (deg)]]+Targets_DW[[#This Row],[LEEWAY (deg)]]))/Targets_DW[[#This Row],[AWSTop]]))</f>
        <v>#ERROR!</v>
      </c>
      <c r="AE2" s="5" t="str">
        <f>Targets_DW[[#This Row],[AWA+Leeway Top]]-Targets_DW[[#This Row],[ROT (deg)]]</f>
        <v>#ERROR!</v>
      </c>
      <c r="AF2" s="5" t="str">
        <f>Targets_DW[[#This Row],[CLEW (deg)]]+Targets_DW[[#This Row],[TWIST (deg)]]</f>
        <v>#ERROR!</v>
      </c>
      <c r="AG2" s="6" t="str">
        <f>Targets_DW[[#This Row],[AWA+Leeway Top]]-Targets_DW[[#This Row],[CA6]]</f>
        <v>#ERROR!</v>
      </c>
      <c r="AH2" s="7" t="str">
        <f>Targets_DW[[#This Row],[AWA+Leeway]]-Targets_DW[[#This Row],[JibLead (deg)]]</f>
        <v>#ERROR!</v>
      </c>
    </row>
    <row r="3" ht="14.25" customHeight="1">
      <c r="A3" s="8" t="s">
        <v>34</v>
      </c>
      <c r="B3" s="9" t="s">
        <v>35</v>
      </c>
      <c r="C3" s="9" t="s">
        <v>36</v>
      </c>
      <c r="D3" s="9">
        <v>24.0</v>
      </c>
      <c r="E3" s="9" t="str">
        <f t="shared" si="1"/>
        <v>Foiling_HSB2_HSRW2-24m</v>
      </c>
      <c r="F3" s="9">
        <v>16.0</v>
      </c>
      <c r="G3" s="7" t="str">
        <f>ABS(Targets_DW[[#This Row],[BSP (km/h)]]*COS(RADIANS(Targets_DW[[#This Row],[TWA (deg)]]+Targets_DW[[#This Row],[LEEWAY (deg)]])))</f>
        <v>#ERROR!</v>
      </c>
      <c r="H3" s="7">
        <v>58.0</v>
      </c>
      <c r="I3" s="7">
        <v>126.0</v>
      </c>
      <c r="J3" s="7">
        <v>0.9</v>
      </c>
      <c r="K3" s="7">
        <v>-1.0</v>
      </c>
      <c r="L3" s="7">
        <v>1.0</v>
      </c>
      <c r="M3" s="7" t="str">
        <f>Targets_DW[[#This Row],[CANT (deg)]]-Targets_DW[[#This Row],[HEEL (deg)]]</f>
        <v>#ERROR!</v>
      </c>
      <c r="N3" s="7">
        <v>1400.0</v>
      </c>
      <c r="O3" s="7">
        <v>1.45</v>
      </c>
      <c r="P3" s="7">
        <v>4.6</v>
      </c>
      <c r="Q3" s="7">
        <v>-2.8</v>
      </c>
      <c r="R3" s="7">
        <v>-25.0</v>
      </c>
      <c r="S3" s="7" t="str">
        <f>Targets_DW[[#This Row],[CLEW (deg)]]-0.5*Targets_DW[[#This Row],[CA1 (deg)]]</f>
        <v>#ERROR!</v>
      </c>
      <c r="T3" s="7">
        <v>0.0</v>
      </c>
      <c r="U3" s="7">
        <v>15.0</v>
      </c>
      <c r="V3" s="7">
        <v>450.0</v>
      </c>
      <c r="W3" s="7">
        <v>6.5</v>
      </c>
      <c r="X3" s="7">
        <v>650.0</v>
      </c>
      <c r="Y3" s="7" t="str">
        <f>SQRT(Targets_DW[[#This Row],[TWS (km/h)]]^2+Targets_DW[[#This Row],[BSP (km/h)]]^2+2*Targets_DW[[#This Row],[TWS (km/h)]]*Targets_DW[[#This Row],[BSP (km/h)]]*COS(RADIANS(Targets_DW[[#This Row],[TWA (deg)]]+Targets_DW[[#This Row],[LEEWAY (deg)]])))</f>
        <v>#ERROR!</v>
      </c>
      <c r="Z3" s="7" t="str">
        <f>DEGREES(ASIN(Targets_DW[[#This Row],[TWS (km/h)]]*SIN(RADIANS(Targets_DW[[#This Row],[TWA (deg)]]+Targets_DW[[#This Row],[LEEWAY (deg)]]))/Targets_DW[[#This Row],[AWS]]))</f>
        <v>#ERROR!</v>
      </c>
      <c r="AA3" s="7" t="str">
        <f>Targets_DW[[#This Row],[AWA+Leeway]]-Targets_DW[[#This Row],[ROT (deg)]]</f>
        <v>#ERROR!</v>
      </c>
      <c r="AB3" s="7" t="str">
        <f>Targets_DW[[#This Row],[TWS (km/h)]]*(Targets_DW[[#This Row],[Wing]]/10)^0.1</f>
        <v>#ERROR!</v>
      </c>
      <c r="AC3" s="7" t="str">
        <f>SQRT(Targets_DW[[#This Row],[TWSTop]]^2+Targets_DW[[#This Row],[BSP (km/h)]]^2+2*Targets_DW[[#This Row],[BSP (km/h)]]*Targets_DW[[#This Row],[TWSTop]]*COS(RADIANS(Targets_DW[[#This Row],[TWA (deg)]]+Targets_DW[[#This Row],[LEEWAY (deg)]])))</f>
        <v>#ERROR!</v>
      </c>
      <c r="AD3" s="7" t="str">
        <f>DEGREES(ASIN(Targets_DW[[#This Row],[TWSTop]]*SIN(RADIANS(Targets_DW[[#This Row],[TWA (deg)]]+Targets_DW[[#This Row],[LEEWAY (deg)]]))/Targets_DW[[#This Row],[AWSTop]]))</f>
        <v>#ERROR!</v>
      </c>
      <c r="AE3" s="7" t="str">
        <f>Targets_DW[[#This Row],[AWA+Leeway Top]]-Targets_DW[[#This Row],[ROT (deg)]]</f>
        <v>#ERROR!</v>
      </c>
      <c r="AF3" s="7" t="str">
        <f>Targets_DW[[#This Row],[CLEW (deg)]]+Targets_DW[[#This Row],[TWIST (deg)]]</f>
        <v>#ERROR!</v>
      </c>
      <c r="AG3" s="10" t="str">
        <f>Targets_DW[[#This Row],[AWA+Leeway Top]]-Targets_DW[[#This Row],[CA6]]</f>
        <v>#ERROR!</v>
      </c>
      <c r="AH3" s="7" t="str">
        <f>Targets_DW[[#This Row],[AWA+Leeway]]-Targets_DW[[#This Row],[JibLead (deg)]]</f>
        <v>#ERROR!</v>
      </c>
    </row>
    <row r="4" ht="14.25" customHeight="1">
      <c r="A4" s="8" t="s">
        <v>34</v>
      </c>
      <c r="B4" s="9" t="s">
        <v>35</v>
      </c>
      <c r="C4" s="9" t="s">
        <v>36</v>
      </c>
      <c r="D4" s="9">
        <v>24.0</v>
      </c>
      <c r="E4" s="9" t="str">
        <f t="shared" si="1"/>
        <v>Foiling_HSB2_HSRW2-24m</v>
      </c>
      <c r="F4" s="9">
        <v>18.0</v>
      </c>
      <c r="G4" s="7" t="str">
        <f>ABS(Targets_DW[[#This Row],[BSP (km/h)]]*COS(RADIANS(Targets_DW[[#This Row],[TWA (deg)]]+Targets_DW[[#This Row],[LEEWAY (deg)]])))</f>
        <v>#ERROR!</v>
      </c>
      <c r="H4" s="7">
        <v>62.0</v>
      </c>
      <c r="I4" s="7">
        <v>130.0</v>
      </c>
      <c r="J4" s="7">
        <v>0.7</v>
      </c>
      <c r="K4" s="7">
        <v>-2.0</v>
      </c>
      <c r="L4" s="7">
        <v>0.9</v>
      </c>
      <c r="M4" s="7" t="str">
        <f>Targets_DW[[#This Row],[CANT (deg)]]-Targets_DW[[#This Row],[HEEL (deg)]]</f>
        <v>#ERROR!</v>
      </c>
      <c r="N4" s="7">
        <v>1375.0</v>
      </c>
      <c r="O4" s="7">
        <v>1.4</v>
      </c>
      <c r="P4" s="7">
        <v>4.550000000000001</v>
      </c>
      <c r="Q4" s="7">
        <v>-3.1</v>
      </c>
      <c r="R4" s="7">
        <v>-24.0</v>
      </c>
      <c r="S4" s="7" t="str">
        <f>Targets_DW[[#This Row],[CLEW (deg)]]-0.5*Targets_DW[[#This Row],[CA1 (deg)]]</f>
        <v>#ERROR!</v>
      </c>
      <c r="T4" s="7">
        <v>0.5</v>
      </c>
      <c r="U4" s="7">
        <v>16.0</v>
      </c>
      <c r="V4" s="7">
        <v>530.0</v>
      </c>
      <c r="W4" s="7">
        <v>7.0</v>
      </c>
      <c r="X4" s="7">
        <v>730.0</v>
      </c>
      <c r="Y4" s="7" t="str">
        <f>SQRT(Targets_DW[[#This Row],[TWS (km/h)]]^2+Targets_DW[[#This Row],[BSP (km/h)]]^2+2*Targets_DW[[#This Row],[TWS (km/h)]]*Targets_DW[[#This Row],[BSP (km/h)]]*COS(RADIANS(Targets_DW[[#This Row],[TWA (deg)]]+Targets_DW[[#This Row],[LEEWAY (deg)]])))</f>
        <v>#ERROR!</v>
      </c>
      <c r="Z4" s="7" t="str">
        <f>DEGREES(ASIN(Targets_DW[[#This Row],[TWS (km/h)]]*SIN(RADIANS(Targets_DW[[#This Row],[TWA (deg)]]+Targets_DW[[#This Row],[LEEWAY (deg)]]))/Targets_DW[[#This Row],[AWS]]))</f>
        <v>#ERROR!</v>
      </c>
      <c r="AA4" s="7" t="str">
        <f>Targets_DW[[#This Row],[AWA+Leeway]]-Targets_DW[[#This Row],[ROT (deg)]]</f>
        <v>#ERROR!</v>
      </c>
      <c r="AB4" s="7" t="str">
        <f>Targets_DW[[#This Row],[TWS (km/h)]]*(Targets_DW[[#This Row],[Wing]]/10)^0.1</f>
        <v>#ERROR!</v>
      </c>
      <c r="AC4" s="7" t="str">
        <f>SQRT(Targets_DW[[#This Row],[TWSTop]]^2+Targets_DW[[#This Row],[BSP (km/h)]]^2+2*Targets_DW[[#This Row],[BSP (km/h)]]*Targets_DW[[#This Row],[TWSTop]]*COS(RADIANS(Targets_DW[[#This Row],[TWA (deg)]]+Targets_DW[[#This Row],[LEEWAY (deg)]])))</f>
        <v>#ERROR!</v>
      </c>
      <c r="AD4" s="7" t="str">
        <f>DEGREES(ASIN(Targets_DW[[#This Row],[TWSTop]]*SIN(RADIANS(Targets_DW[[#This Row],[TWA (deg)]]+Targets_DW[[#This Row],[LEEWAY (deg)]]))/Targets_DW[[#This Row],[AWSTop]]))</f>
        <v>#ERROR!</v>
      </c>
      <c r="AE4" s="7" t="str">
        <f>Targets_DW[[#This Row],[AWA+Leeway Top]]-Targets_DW[[#This Row],[ROT (deg)]]</f>
        <v>#ERROR!</v>
      </c>
      <c r="AF4" s="7" t="str">
        <f>Targets_DW[[#This Row],[CLEW (deg)]]+Targets_DW[[#This Row],[TWIST (deg)]]</f>
        <v>#ERROR!</v>
      </c>
      <c r="AG4" s="10" t="str">
        <f>Targets_DW[[#This Row],[AWA+Leeway Top]]-Targets_DW[[#This Row],[CA6]]</f>
        <v>#ERROR!</v>
      </c>
      <c r="AH4" s="7" t="str">
        <f>Targets_DW[[#This Row],[AWA+Leeway]]-Targets_DW[[#This Row],[JibLead (deg)]]</f>
        <v>#ERROR!</v>
      </c>
    </row>
    <row r="5" ht="14.25" customHeight="1">
      <c r="A5" s="8" t="s">
        <v>34</v>
      </c>
      <c r="B5" s="9" t="s">
        <v>35</v>
      </c>
      <c r="C5" s="9" t="s">
        <v>36</v>
      </c>
      <c r="D5" s="9">
        <v>24.0</v>
      </c>
      <c r="E5" s="9" t="str">
        <f t="shared" si="1"/>
        <v>Foiling_HSB2_HSRW2-24m</v>
      </c>
      <c r="F5" s="9">
        <v>20.0</v>
      </c>
      <c r="G5" s="7" t="str">
        <f>ABS(Targets_DW[[#This Row],[BSP (km/h)]]*COS(RADIANS(Targets_DW[[#This Row],[TWA (deg)]]+Targets_DW[[#This Row],[LEEWAY (deg)]])))</f>
        <v>#ERROR!</v>
      </c>
      <c r="H5" s="7">
        <v>65.0</v>
      </c>
      <c r="I5" s="7">
        <v>134.0</v>
      </c>
      <c r="J5" s="7">
        <v>0.55</v>
      </c>
      <c r="K5" s="7">
        <v>-3.0</v>
      </c>
      <c r="L5" s="7">
        <v>0.75</v>
      </c>
      <c r="M5" s="7" t="str">
        <f>Targets_DW[[#This Row],[CANT (deg)]]-Targets_DW[[#This Row],[HEEL (deg)]]</f>
        <v>#ERROR!</v>
      </c>
      <c r="N5" s="7">
        <v>1350.0</v>
      </c>
      <c r="O5" s="7">
        <v>1.2</v>
      </c>
      <c r="P5" s="7">
        <v>4.4516222</v>
      </c>
      <c r="Q5" s="7">
        <v>-3.2</v>
      </c>
      <c r="R5" s="7">
        <v>-23.5</v>
      </c>
      <c r="S5" s="7" t="str">
        <f>Targets_DW[[#This Row],[CLEW (deg)]]-0.5*Targets_DW[[#This Row],[CA1 (deg)]]</f>
        <v>#ERROR!</v>
      </c>
      <c r="T5" s="7">
        <v>1.0</v>
      </c>
      <c r="U5" s="7">
        <v>18.0</v>
      </c>
      <c r="V5" s="7">
        <v>630.0</v>
      </c>
      <c r="W5" s="7">
        <v>7.5</v>
      </c>
      <c r="X5" s="7">
        <v>800.0</v>
      </c>
      <c r="Y5" s="7" t="str">
        <f>SQRT(Targets_DW[[#This Row],[TWS (km/h)]]^2+Targets_DW[[#This Row],[BSP (km/h)]]^2+2*Targets_DW[[#This Row],[TWS (km/h)]]*Targets_DW[[#This Row],[BSP (km/h)]]*COS(RADIANS(Targets_DW[[#This Row],[TWA (deg)]]+Targets_DW[[#This Row],[LEEWAY (deg)]])))</f>
        <v>#ERROR!</v>
      </c>
      <c r="Z5" s="7" t="str">
        <f>DEGREES(ASIN(Targets_DW[[#This Row],[TWS (km/h)]]*SIN(RADIANS(Targets_DW[[#This Row],[TWA (deg)]]+Targets_DW[[#This Row],[LEEWAY (deg)]]))/Targets_DW[[#This Row],[AWS]]))</f>
        <v>#ERROR!</v>
      </c>
      <c r="AA5" s="7" t="str">
        <f>Targets_DW[[#This Row],[AWA+Leeway]]-Targets_DW[[#This Row],[ROT (deg)]]</f>
        <v>#ERROR!</v>
      </c>
      <c r="AB5" s="7" t="str">
        <f>Targets_DW[[#This Row],[TWS (km/h)]]*(Targets_DW[[#This Row],[Wing]]/10)^0.1</f>
        <v>#ERROR!</v>
      </c>
      <c r="AC5" s="7" t="str">
        <f>SQRT(Targets_DW[[#This Row],[TWSTop]]^2+Targets_DW[[#This Row],[BSP (km/h)]]^2+2*Targets_DW[[#This Row],[BSP (km/h)]]*Targets_DW[[#This Row],[TWSTop]]*COS(RADIANS(Targets_DW[[#This Row],[TWA (deg)]]+Targets_DW[[#This Row],[LEEWAY (deg)]])))</f>
        <v>#ERROR!</v>
      </c>
      <c r="AD5" s="7" t="str">
        <f>DEGREES(ASIN(Targets_DW[[#This Row],[TWSTop]]*SIN(RADIANS(Targets_DW[[#This Row],[TWA (deg)]]+Targets_DW[[#This Row],[LEEWAY (deg)]]))/Targets_DW[[#This Row],[AWSTop]]))</f>
        <v>#ERROR!</v>
      </c>
      <c r="AE5" s="7" t="str">
        <f>Targets_DW[[#This Row],[AWA+Leeway Top]]-Targets_DW[[#This Row],[ROT (deg)]]</f>
        <v>#ERROR!</v>
      </c>
      <c r="AF5" s="7" t="str">
        <f>Targets_DW[[#This Row],[CLEW (deg)]]+Targets_DW[[#This Row],[TWIST (deg)]]</f>
        <v>#ERROR!</v>
      </c>
      <c r="AG5" s="10" t="str">
        <f>Targets_DW[[#This Row],[AWA+Leeway Top]]-Targets_DW[[#This Row],[CA6]]</f>
        <v>#ERROR!</v>
      </c>
      <c r="AH5" s="7" t="str">
        <f>Targets_DW[[#This Row],[AWA+Leeway]]-Targets_DW[[#This Row],[JibLead (deg)]]</f>
        <v>#ERROR!</v>
      </c>
    </row>
    <row r="6" ht="14.25" customHeight="1">
      <c r="A6" s="8" t="s">
        <v>34</v>
      </c>
      <c r="B6" s="9" t="s">
        <v>35</v>
      </c>
      <c r="C6" s="9" t="s">
        <v>36</v>
      </c>
      <c r="D6" s="9">
        <v>24.0</v>
      </c>
      <c r="E6" s="9" t="str">
        <f t="shared" si="1"/>
        <v>Foiling_HSB2_HSRW2-24m</v>
      </c>
      <c r="F6" s="9">
        <v>22.0</v>
      </c>
      <c r="G6" s="7" t="str">
        <f>ABS(Targets_DW[[#This Row],[BSP (km/h)]]*COS(RADIANS(Targets_DW[[#This Row],[TWA (deg)]]+Targets_DW[[#This Row],[LEEWAY (deg)]])))</f>
        <v>#ERROR!</v>
      </c>
      <c r="H6" s="7">
        <v>67.0</v>
      </c>
      <c r="I6" s="7">
        <v>137.0</v>
      </c>
      <c r="J6" s="7">
        <v>0.4</v>
      </c>
      <c r="K6" s="7">
        <v>-3.5</v>
      </c>
      <c r="L6" s="7">
        <v>0.6</v>
      </c>
      <c r="M6" s="7" t="str">
        <f>Targets_DW[[#This Row],[CANT (deg)]]-Targets_DW[[#This Row],[HEEL (deg)]]</f>
        <v>#ERROR!</v>
      </c>
      <c r="N6" s="7">
        <v>1325.0</v>
      </c>
      <c r="O6" s="7">
        <v>1.0</v>
      </c>
      <c r="P6" s="7">
        <v>4.425971229999989</v>
      </c>
      <c r="Q6" s="7">
        <v>-3.3</v>
      </c>
      <c r="R6" s="7">
        <v>-23.0</v>
      </c>
      <c r="S6" s="7" t="str">
        <f>Targets_DW[[#This Row],[CLEW (deg)]]-0.5*Targets_DW[[#This Row],[CA1 (deg)]]</f>
        <v>#ERROR!</v>
      </c>
      <c r="T6" s="7">
        <v>1.5</v>
      </c>
      <c r="U6" s="7">
        <v>19.0</v>
      </c>
      <c r="V6" s="7">
        <v>710.0</v>
      </c>
      <c r="W6" s="7">
        <v>7.7</v>
      </c>
      <c r="X6" s="7">
        <v>780.0</v>
      </c>
      <c r="Y6" s="7" t="str">
        <f>SQRT(Targets_DW[[#This Row],[TWS (km/h)]]^2+Targets_DW[[#This Row],[BSP (km/h)]]^2+2*Targets_DW[[#This Row],[TWS (km/h)]]*Targets_DW[[#This Row],[BSP (km/h)]]*COS(RADIANS(Targets_DW[[#This Row],[TWA (deg)]]+Targets_DW[[#This Row],[LEEWAY (deg)]])))</f>
        <v>#ERROR!</v>
      </c>
      <c r="Z6" s="7" t="str">
        <f>DEGREES(ASIN(Targets_DW[[#This Row],[TWS (km/h)]]*SIN(RADIANS(Targets_DW[[#This Row],[TWA (deg)]]+Targets_DW[[#This Row],[LEEWAY (deg)]]))/Targets_DW[[#This Row],[AWS]]))</f>
        <v>#ERROR!</v>
      </c>
      <c r="AA6" s="7" t="str">
        <f>Targets_DW[[#This Row],[AWA+Leeway]]-Targets_DW[[#This Row],[ROT (deg)]]</f>
        <v>#ERROR!</v>
      </c>
      <c r="AB6" s="7" t="str">
        <f>Targets_DW[[#This Row],[TWS (km/h)]]*(Targets_DW[[#This Row],[Wing]]/10)^0.1</f>
        <v>#ERROR!</v>
      </c>
      <c r="AC6" s="7" t="str">
        <f>SQRT(Targets_DW[[#This Row],[TWSTop]]^2+Targets_DW[[#This Row],[BSP (km/h)]]^2+2*Targets_DW[[#This Row],[BSP (km/h)]]*Targets_DW[[#This Row],[TWSTop]]*COS(RADIANS(Targets_DW[[#This Row],[TWA (deg)]]+Targets_DW[[#This Row],[LEEWAY (deg)]])))</f>
        <v>#ERROR!</v>
      </c>
      <c r="AD6" s="7" t="str">
        <f>DEGREES(ASIN(Targets_DW[[#This Row],[TWSTop]]*SIN(RADIANS(Targets_DW[[#This Row],[TWA (deg)]]+Targets_DW[[#This Row],[LEEWAY (deg)]]))/Targets_DW[[#This Row],[AWSTop]]))</f>
        <v>#ERROR!</v>
      </c>
      <c r="AE6" s="7" t="str">
        <f>Targets_DW[[#This Row],[AWA+Leeway Top]]-Targets_DW[[#This Row],[ROT (deg)]]</f>
        <v>#ERROR!</v>
      </c>
      <c r="AF6" s="7" t="str">
        <f>Targets_DW[[#This Row],[CLEW (deg)]]+Targets_DW[[#This Row],[TWIST (deg)]]</f>
        <v>#ERROR!</v>
      </c>
      <c r="AG6" s="10" t="str">
        <f>Targets_DW[[#This Row],[AWA+Leeway Top]]-Targets_DW[[#This Row],[CA6]]</f>
        <v>#ERROR!</v>
      </c>
      <c r="AH6" s="7" t="str">
        <f>Targets_DW[[#This Row],[AWA+Leeway]]-Targets_DW[[#This Row],[JibLead (deg)]]</f>
        <v>#ERROR!</v>
      </c>
    </row>
    <row r="7" ht="14.25" customHeight="1">
      <c r="A7" s="8" t="s">
        <v>34</v>
      </c>
      <c r="B7" s="9" t="s">
        <v>35</v>
      </c>
      <c r="C7" s="9" t="s">
        <v>36</v>
      </c>
      <c r="D7" s="9">
        <v>24.0</v>
      </c>
      <c r="E7" s="9" t="str">
        <f t="shared" si="1"/>
        <v>Foiling_HSB2_HSRW2-24m</v>
      </c>
      <c r="F7" s="9">
        <v>24.0</v>
      </c>
      <c r="G7" s="7" t="str">
        <f>ABS(Targets_DW[[#This Row],[BSP (km/h)]]*COS(RADIANS(Targets_DW[[#This Row],[TWA (deg)]]+Targets_DW[[#This Row],[LEEWAY (deg)]])))</f>
        <v>#ERROR!</v>
      </c>
      <c r="H7" s="7">
        <v>69.0</v>
      </c>
      <c r="I7" s="7">
        <v>139.0</v>
      </c>
      <c r="J7" s="7">
        <v>0.2</v>
      </c>
      <c r="K7" s="7">
        <v>-3.9</v>
      </c>
      <c r="L7" s="7">
        <v>0.45</v>
      </c>
      <c r="M7" s="7" t="str">
        <f>Targets_DW[[#This Row],[CANT (deg)]]-Targets_DW[[#This Row],[HEEL (deg)]]</f>
        <v>#ERROR!</v>
      </c>
      <c r="N7" s="7">
        <v>1300.0</v>
      </c>
      <c r="O7" s="7">
        <v>0.8</v>
      </c>
      <c r="P7" s="7">
        <v>4.4</v>
      </c>
      <c r="Q7" s="7">
        <v>-3.3</v>
      </c>
      <c r="R7" s="7">
        <v>-23.0</v>
      </c>
      <c r="S7" s="7" t="str">
        <f>Targets_DW[[#This Row],[CLEW (deg)]]-0.5*Targets_DW[[#This Row],[CA1 (deg)]]</f>
        <v>#ERROR!</v>
      </c>
      <c r="T7" s="7">
        <v>2.0</v>
      </c>
      <c r="U7" s="7">
        <v>20.0</v>
      </c>
      <c r="V7" s="7">
        <v>780.0</v>
      </c>
      <c r="W7" s="7">
        <v>7.9</v>
      </c>
      <c r="X7" s="7">
        <v>800.0</v>
      </c>
      <c r="Y7" s="7" t="str">
        <f>SQRT(Targets_DW[[#This Row],[TWS (km/h)]]^2+Targets_DW[[#This Row],[BSP (km/h)]]^2+2*Targets_DW[[#This Row],[TWS (km/h)]]*Targets_DW[[#This Row],[BSP (km/h)]]*COS(RADIANS(Targets_DW[[#This Row],[TWA (deg)]]+Targets_DW[[#This Row],[LEEWAY (deg)]])))</f>
        <v>#ERROR!</v>
      </c>
      <c r="Z7" s="7" t="str">
        <f>DEGREES(ASIN(Targets_DW[[#This Row],[TWS (km/h)]]*SIN(RADIANS(Targets_DW[[#This Row],[TWA (deg)]]+Targets_DW[[#This Row],[LEEWAY (deg)]]))/Targets_DW[[#This Row],[AWS]]))</f>
        <v>#ERROR!</v>
      </c>
      <c r="AA7" s="7" t="str">
        <f>Targets_DW[[#This Row],[AWA+Leeway]]-Targets_DW[[#This Row],[ROT (deg)]]</f>
        <v>#ERROR!</v>
      </c>
      <c r="AB7" s="7" t="str">
        <f>Targets_DW[[#This Row],[TWS (km/h)]]*(Targets_DW[[#This Row],[Wing]]/10)^0.1</f>
        <v>#ERROR!</v>
      </c>
      <c r="AC7" s="7" t="str">
        <f>SQRT(Targets_DW[[#This Row],[TWSTop]]^2+Targets_DW[[#This Row],[BSP (km/h)]]^2+2*Targets_DW[[#This Row],[BSP (km/h)]]*Targets_DW[[#This Row],[TWSTop]]*COS(RADIANS(Targets_DW[[#This Row],[TWA (deg)]]+Targets_DW[[#This Row],[LEEWAY (deg)]])))</f>
        <v>#ERROR!</v>
      </c>
      <c r="AD7" s="7" t="str">
        <f>DEGREES(ASIN(Targets_DW[[#This Row],[TWSTop]]*SIN(RADIANS(Targets_DW[[#This Row],[TWA (deg)]]+Targets_DW[[#This Row],[LEEWAY (deg)]]))/Targets_DW[[#This Row],[AWSTop]]))</f>
        <v>#ERROR!</v>
      </c>
      <c r="AE7" s="7" t="str">
        <f>Targets_DW[[#This Row],[AWA+Leeway Top]]-Targets_DW[[#This Row],[ROT (deg)]]</f>
        <v>#ERROR!</v>
      </c>
      <c r="AF7" s="7" t="str">
        <f>Targets_DW[[#This Row],[CLEW (deg)]]+Targets_DW[[#This Row],[TWIST (deg)]]</f>
        <v>#ERROR!</v>
      </c>
      <c r="AG7" s="10" t="str">
        <f>Targets_DW[[#This Row],[AWA+Leeway Top]]-Targets_DW[[#This Row],[CA6]]</f>
        <v>#ERROR!</v>
      </c>
      <c r="AH7" s="7" t="str">
        <f>Targets_DW[[#This Row],[AWA+Leeway]]-Targets_DW[[#This Row],[JibLead (deg)]]</f>
        <v>#ERROR!</v>
      </c>
    </row>
    <row r="8" ht="14.25" customHeight="1">
      <c r="A8" s="8" t="s">
        <v>34</v>
      </c>
      <c r="B8" s="9" t="s">
        <v>35</v>
      </c>
      <c r="C8" s="9" t="s">
        <v>36</v>
      </c>
      <c r="D8" s="9">
        <v>24.0</v>
      </c>
      <c r="E8" s="9" t="str">
        <f t="shared" si="1"/>
        <v>Foiling_HSB2_HSRW2-24m</v>
      </c>
      <c r="F8" s="9">
        <v>26.0</v>
      </c>
      <c r="G8" s="7" t="str">
        <f>ABS(Targets_DW[[#This Row],[BSP (km/h)]]*COS(RADIANS(Targets_DW[[#This Row],[TWA (deg)]]+Targets_DW[[#This Row],[LEEWAY (deg)]])))</f>
        <v>#ERROR!</v>
      </c>
      <c r="H8" s="7">
        <v>70.5</v>
      </c>
      <c r="I8" s="7">
        <v>141.0</v>
      </c>
      <c r="J8" s="7">
        <v>0.1</v>
      </c>
      <c r="K8" s="7">
        <v>-4.25</v>
      </c>
      <c r="L8" s="7">
        <v>0.254900789999966</v>
      </c>
      <c r="M8" s="7" t="str">
        <f>Targets_DW[[#This Row],[CANT (deg)]]-Targets_DW[[#This Row],[HEEL (deg)]]</f>
        <v>#ERROR!</v>
      </c>
      <c r="N8" s="7">
        <v>1275.0</v>
      </c>
      <c r="O8" s="7">
        <v>0.6</v>
      </c>
      <c r="P8" s="7">
        <v>4.35</v>
      </c>
      <c r="Q8" s="7">
        <v>-3.3</v>
      </c>
      <c r="R8" s="7">
        <v>-22.5</v>
      </c>
      <c r="S8" s="7" t="str">
        <f>Targets_DW[[#This Row],[CLEW (deg)]]-0.5*Targets_DW[[#This Row],[CA1 (deg)]]</f>
        <v>#ERROR!</v>
      </c>
      <c r="T8" s="7">
        <v>2.5</v>
      </c>
      <c r="U8" s="7">
        <v>20.0</v>
      </c>
      <c r="V8" s="7">
        <v>830.0</v>
      </c>
      <c r="W8" s="7">
        <v>8.1</v>
      </c>
      <c r="X8" s="7">
        <v>750.0</v>
      </c>
      <c r="Y8" s="7" t="str">
        <f>SQRT(Targets_DW[[#This Row],[TWS (km/h)]]^2+Targets_DW[[#This Row],[BSP (km/h)]]^2+2*Targets_DW[[#This Row],[TWS (km/h)]]*Targets_DW[[#This Row],[BSP (km/h)]]*COS(RADIANS(Targets_DW[[#This Row],[TWA (deg)]]+Targets_DW[[#This Row],[LEEWAY (deg)]])))</f>
        <v>#ERROR!</v>
      </c>
      <c r="Z8" s="7" t="str">
        <f>DEGREES(ASIN(Targets_DW[[#This Row],[TWS (km/h)]]*SIN(RADIANS(Targets_DW[[#This Row],[TWA (deg)]]+Targets_DW[[#This Row],[LEEWAY (deg)]]))/Targets_DW[[#This Row],[AWS]]))</f>
        <v>#ERROR!</v>
      </c>
      <c r="AA8" s="7" t="str">
        <f>Targets_DW[[#This Row],[AWA+Leeway]]-Targets_DW[[#This Row],[ROT (deg)]]</f>
        <v>#ERROR!</v>
      </c>
      <c r="AB8" s="7" t="str">
        <f>Targets_DW[[#This Row],[TWS (km/h)]]*(Targets_DW[[#This Row],[Wing]]/10)^0.1</f>
        <v>#ERROR!</v>
      </c>
      <c r="AC8" s="7" t="str">
        <f>SQRT(Targets_DW[[#This Row],[TWSTop]]^2+Targets_DW[[#This Row],[BSP (km/h)]]^2+2*Targets_DW[[#This Row],[BSP (km/h)]]*Targets_DW[[#This Row],[TWSTop]]*COS(RADIANS(Targets_DW[[#This Row],[TWA (deg)]]+Targets_DW[[#This Row],[LEEWAY (deg)]])))</f>
        <v>#ERROR!</v>
      </c>
      <c r="AD8" s="7" t="str">
        <f>DEGREES(ASIN(Targets_DW[[#This Row],[TWSTop]]*SIN(RADIANS(Targets_DW[[#This Row],[TWA (deg)]]+Targets_DW[[#This Row],[LEEWAY (deg)]]))/Targets_DW[[#This Row],[AWSTop]]))</f>
        <v>#ERROR!</v>
      </c>
      <c r="AE8" s="7" t="str">
        <f>Targets_DW[[#This Row],[AWA+Leeway Top]]-Targets_DW[[#This Row],[ROT (deg)]]</f>
        <v>#ERROR!</v>
      </c>
      <c r="AF8" s="7" t="str">
        <f>Targets_DW[[#This Row],[CLEW (deg)]]+Targets_DW[[#This Row],[TWIST (deg)]]</f>
        <v>#ERROR!</v>
      </c>
      <c r="AG8" s="10" t="str">
        <f>Targets_DW[[#This Row],[AWA+Leeway Top]]-Targets_DW[[#This Row],[CA6]]</f>
        <v>#ERROR!</v>
      </c>
      <c r="AH8" s="7" t="str">
        <f>Targets_DW[[#This Row],[AWA+Leeway]]-Targets_DW[[#This Row],[JibLead (deg)]]</f>
        <v>#ERROR!</v>
      </c>
    </row>
    <row r="9" ht="14.25" customHeight="1">
      <c r="A9" s="8" t="s">
        <v>34</v>
      </c>
      <c r="B9" s="9" t="s">
        <v>35</v>
      </c>
      <c r="C9" s="9" t="s">
        <v>36</v>
      </c>
      <c r="D9" s="9">
        <v>24.0</v>
      </c>
      <c r="E9" s="9" t="str">
        <f t="shared" si="1"/>
        <v>Foiling_HSB2_HSRW2-24m</v>
      </c>
      <c r="F9" s="9">
        <v>28.0</v>
      </c>
      <c r="G9" s="7" t="str">
        <f>ABS(Targets_DW[[#This Row],[BSP (km/h)]]*COS(RADIANS(Targets_DW[[#This Row],[TWA (deg)]]+Targets_DW[[#This Row],[LEEWAY (deg)]])))</f>
        <v>#ERROR!</v>
      </c>
      <c r="H9" s="7">
        <v>72.0</v>
      </c>
      <c r="I9" s="7">
        <v>143.0</v>
      </c>
      <c r="J9" s="7">
        <v>0.0</v>
      </c>
      <c r="K9" s="7">
        <v>-4.5</v>
      </c>
      <c r="L9" s="7">
        <v>0.0949452699999491</v>
      </c>
      <c r="M9" s="7" t="str">
        <f>Targets_DW[[#This Row],[CANT (deg)]]-Targets_DW[[#This Row],[HEEL (deg)]]</f>
        <v>#ERROR!</v>
      </c>
      <c r="N9" s="7">
        <v>1250.0</v>
      </c>
      <c r="O9" s="7">
        <v>0.5</v>
      </c>
      <c r="P9" s="7">
        <v>4.28</v>
      </c>
      <c r="Q9" s="7">
        <v>-3.2</v>
      </c>
      <c r="R9" s="7">
        <v>-22.0</v>
      </c>
      <c r="S9" s="7" t="str">
        <f>Targets_DW[[#This Row],[CLEW (deg)]]-0.5*Targets_DW[[#This Row],[CA1 (deg)]]</f>
        <v>#ERROR!</v>
      </c>
      <c r="T9" s="7">
        <v>3.0</v>
      </c>
      <c r="U9" s="7">
        <v>20.0</v>
      </c>
      <c r="V9" s="7">
        <v>890.0</v>
      </c>
      <c r="W9" s="7">
        <v>8.3</v>
      </c>
      <c r="X9" s="7">
        <v>725.0</v>
      </c>
      <c r="Y9" s="7" t="str">
        <f>SQRT(Targets_DW[[#This Row],[TWS (km/h)]]^2+Targets_DW[[#This Row],[BSP (km/h)]]^2+2*Targets_DW[[#This Row],[TWS (km/h)]]*Targets_DW[[#This Row],[BSP (km/h)]]*COS(RADIANS(Targets_DW[[#This Row],[TWA (deg)]]+Targets_DW[[#This Row],[LEEWAY (deg)]])))</f>
        <v>#ERROR!</v>
      </c>
      <c r="Z9" s="7" t="str">
        <f>DEGREES(ASIN(Targets_DW[[#This Row],[TWS (km/h)]]*SIN(RADIANS(Targets_DW[[#This Row],[TWA (deg)]]+Targets_DW[[#This Row],[LEEWAY (deg)]]))/Targets_DW[[#This Row],[AWS]]))</f>
        <v>#ERROR!</v>
      </c>
      <c r="AA9" s="7" t="str">
        <f>Targets_DW[[#This Row],[AWA+Leeway]]-Targets_DW[[#This Row],[ROT (deg)]]</f>
        <v>#ERROR!</v>
      </c>
      <c r="AB9" s="7" t="str">
        <f>Targets_DW[[#This Row],[TWS (km/h)]]*(Targets_DW[[#This Row],[Wing]]/10)^0.1</f>
        <v>#ERROR!</v>
      </c>
      <c r="AC9" s="7" t="str">
        <f>SQRT(Targets_DW[[#This Row],[TWSTop]]^2+Targets_DW[[#This Row],[BSP (km/h)]]^2+2*Targets_DW[[#This Row],[BSP (km/h)]]*Targets_DW[[#This Row],[TWSTop]]*COS(RADIANS(Targets_DW[[#This Row],[TWA (deg)]]+Targets_DW[[#This Row],[LEEWAY (deg)]])))</f>
        <v>#ERROR!</v>
      </c>
      <c r="AD9" s="7" t="str">
        <f>DEGREES(ASIN(Targets_DW[[#This Row],[TWSTop]]*SIN(RADIANS(Targets_DW[[#This Row],[TWA (deg)]]+Targets_DW[[#This Row],[LEEWAY (deg)]]))/Targets_DW[[#This Row],[AWSTop]]))</f>
        <v>#ERROR!</v>
      </c>
      <c r="AE9" s="7" t="str">
        <f>Targets_DW[[#This Row],[AWA+Leeway Top]]-Targets_DW[[#This Row],[ROT (deg)]]</f>
        <v>#ERROR!</v>
      </c>
      <c r="AF9" s="7" t="str">
        <f>Targets_DW[[#This Row],[CLEW (deg)]]+Targets_DW[[#This Row],[TWIST (deg)]]</f>
        <v>#ERROR!</v>
      </c>
      <c r="AG9" s="10" t="str">
        <f>Targets_DW[[#This Row],[AWA+Leeway Top]]-Targets_DW[[#This Row],[CA6]]</f>
        <v>#ERROR!</v>
      </c>
      <c r="AH9" s="7" t="str">
        <f>Targets_DW[[#This Row],[AWA+Leeway]]-Targets_DW[[#This Row],[JibLead (deg)]]</f>
        <v>#ERROR!</v>
      </c>
    </row>
    <row r="10" ht="14.25" customHeight="1">
      <c r="A10" s="8" t="s">
        <v>34</v>
      </c>
      <c r="B10" s="9" t="s">
        <v>35</v>
      </c>
      <c r="C10" s="9" t="s">
        <v>36</v>
      </c>
      <c r="D10" s="9">
        <v>24.0</v>
      </c>
      <c r="E10" s="9" t="str">
        <f t="shared" si="1"/>
        <v>Foiling_HSB2_HSRW2-24m</v>
      </c>
      <c r="F10" s="9">
        <v>30.0</v>
      </c>
      <c r="G10" s="7" t="str">
        <f>ABS(Targets_DW[[#This Row],[BSP (km/h)]]*COS(RADIANS(Targets_DW[[#This Row],[TWA (deg)]]+Targets_DW[[#This Row],[LEEWAY (deg)]])))</f>
        <v>#ERROR!</v>
      </c>
      <c r="H10" s="7">
        <v>73.0</v>
      </c>
      <c r="I10" s="7">
        <v>145.0</v>
      </c>
      <c r="J10" s="7">
        <v>0.0</v>
      </c>
      <c r="K10" s="7">
        <v>-4.75</v>
      </c>
      <c r="L10" s="7">
        <v>-0.119033610000026</v>
      </c>
      <c r="M10" s="7" t="str">
        <f>Targets_DW[[#This Row],[CANT (deg)]]-Targets_DW[[#This Row],[HEEL (deg)]]</f>
        <v>#ERROR!</v>
      </c>
      <c r="N10" s="7">
        <v>1225.0</v>
      </c>
      <c r="O10" s="7">
        <v>0.45</v>
      </c>
      <c r="P10" s="7">
        <v>4.25</v>
      </c>
      <c r="Q10" s="7">
        <v>-3.2</v>
      </c>
      <c r="R10" s="7">
        <v>-21.8</v>
      </c>
      <c r="S10" s="7" t="str">
        <f>Targets_DW[[#This Row],[CLEW (deg)]]-0.5*Targets_DW[[#This Row],[CA1 (deg)]]</f>
        <v>#ERROR!</v>
      </c>
      <c r="T10" s="7">
        <v>3.5</v>
      </c>
      <c r="U10" s="7">
        <v>20.0</v>
      </c>
      <c r="V10" s="7">
        <v>930.0</v>
      </c>
      <c r="W10" s="7">
        <v>8.5</v>
      </c>
      <c r="X10" s="7">
        <v>715.0</v>
      </c>
      <c r="Y10" s="7" t="str">
        <f>SQRT(Targets_DW[[#This Row],[TWS (km/h)]]^2+Targets_DW[[#This Row],[BSP (km/h)]]^2+2*Targets_DW[[#This Row],[TWS (km/h)]]*Targets_DW[[#This Row],[BSP (km/h)]]*COS(RADIANS(Targets_DW[[#This Row],[TWA (deg)]]+Targets_DW[[#This Row],[LEEWAY (deg)]])))</f>
        <v>#ERROR!</v>
      </c>
      <c r="Z10" s="7" t="str">
        <f>DEGREES(ASIN(Targets_DW[[#This Row],[TWS (km/h)]]*SIN(RADIANS(Targets_DW[[#This Row],[TWA (deg)]]+Targets_DW[[#This Row],[LEEWAY (deg)]]))/Targets_DW[[#This Row],[AWS]]))</f>
        <v>#ERROR!</v>
      </c>
      <c r="AA10" s="7" t="str">
        <f>Targets_DW[[#This Row],[AWA+Leeway]]-Targets_DW[[#This Row],[ROT (deg)]]</f>
        <v>#ERROR!</v>
      </c>
      <c r="AB10" s="7" t="str">
        <f>Targets_DW[[#This Row],[TWS (km/h)]]*(Targets_DW[[#This Row],[Wing]]/10)^0.1</f>
        <v>#ERROR!</v>
      </c>
      <c r="AC10" s="7" t="str">
        <f>SQRT(Targets_DW[[#This Row],[TWSTop]]^2+Targets_DW[[#This Row],[BSP (km/h)]]^2+2*Targets_DW[[#This Row],[BSP (km/h)]]*Targets_DW[[#This Row],[TWSTop]]*COS(RADIANS(Targets_DW[[#This Row],[TWA (deg)]]+Targets_DW[[#This Row],[LEEWAY (deg)]])))</f>
        <v>#ERROR!</v>
      </c>
      <c r="AD10" s="7" t="str">
        <f>DEGREES(ASIN(Targets_DW[[#This Row],[TWSTop]]*SIN(RADIANS(Targets_DW[[#This Row],[TWA (deg)]]+Targets_DW[[#This Row],[LEEWAY (deg)]]))/Targets_DW[[#This Row],[AWSTop]]))</f>
        <v>#ERROR!</v>
      </c>
      <c r="AE10" s="7" t="str">
        <f>Targets_DW[[#This Row],[AWA+Leeway Top]]-Targets_DW[[#This Row],[ROT (deg)]]</f>
        <v>#ERROR!</v>
      </c>
      <c r="AF10" s="7" t="str">
        <f>Targets_DW[[#This Row],[CLEW (deg)]]+Targets_DW[[#This Row],[TWIST (deg)]]</f>
        <v>#ERROR!</v>
      </c>
      <c r="AG10" s="10" t="str">
        <f>Targets_DW[[#This Row],[AWA+Leeway Top]]-Targets_DW[[#This Row],[CA6]]</f>
        <v>#ERROR!</v>
      </c>
      <c r="AH10" s="7" t="str">
        <f>Targets_DW[[#This Row],[AWA+Leeway]]-Targets_DW[[#This Row],[JibLead (deg)]]</f>
        <v>#ERROR!</v>
      </c>
    </row>
    <row r="11" ht="14.25" customHeight="1">
      <c r="A11" s="8" t="s">
        <v>34</v>
      </c>
      <c r="B11" s="9" t="s">
        <v>35</v>
      </c>
      <c r="C11" s="9" t="s">
        <v>36</v>
      </c>
      <c r="D11" s="9">
        <v>24.0</v>
      </c>
      <c r="E11" s="9" t="str">
        <f t="shared" si="1"/>
        <v>Foiling_HSB2_HSRW2-24m</v>
      </c>
      <c r="F11" s="9">
        <v>32.0</v>
      </c>
      <c r="G11" s="7" t="str">
        <f>ABS(Targets_DW[[#This Row],[BSP (km/h)]]*COS(RADIANS(Targets_DW[[#This Row],[TWA (deg)]]+Targets_DW[[#This Row],[LEEWAY (deg)]])))</f>
        <v>#ERROR!</v>
      </c>
      <c r="H11" s="7">
        <v>74.0</v>
      </c>
      <c r="I11" s="7">
        <v>147.0</v>
      </c>
      <c r="J11" s="7">
        <v>0.0</v>
      </c>
      <c r="K11" s="7">
        <v>-5.0</v>
      </c>
      <c r="L11" s="7">
        <v>-0.387035850000046</v>
      </c>
      <c r="M11" s="7" t="str">
        <f>Targets_DW[[#This Row],[CANT (deg)]]-Targets_DW[[#This Row],[HEEL (deg)]]</f>
        <v>#ERROR!</v>
      </c>
      <c r="N11" s="7">
        <v>1210.0</v>
      </c>
      <c r="O11" s="7">
        <v>0.4</v>
      </c>
      <c r="P11" s="7">
        <v>4.1</v>
      </c>
      <c r="Q11" s="7">
        <v>-3.1</v>
      </c>
      <c r="R11" s="7">
        <v>-21.5</v>
      </c>
      <c r="S11" s="7" t="str">
        <f>Targets_DW[[#This Row],[CLEW (deg)]]-0.5*Targets_DW[[#This Row],[CA1 (deg)]]</f>
        <v>#ERROR!</v>
      </c>
      <c r="T11" s="7">
        <v>4.0</v>
      </c>
      <c r="U11" s="7">
        <v>19.0</v>
      </c>
      <c r="V11" s="7">
        <v>920.0</v>
      </c>
      <c r="W11" s="7">
        <v>8.7</v>
      </c>
      <c r="X11" s="7">
        <v>680.0</v>
      </c>
      <c r="Y11" s="7" t="str">
        <f>SQRT(Targets_DW[[#This Row],[TWS (km/h)]]^2+Targets_DW[[#This Row],[BSP (km/h)]]^2+2*Targets_DW[[#This Row],[TWS (km/h)]]*Targets_DW[[#This Row],[BSP (km/h)]]*COS(RADIANS(Targets_DW[[#This Row],[TWA (deg)]]+Targets_DW[[#This Row],[LEEWAY (deg)]])))</f>
        <v>#ERROR!</v>
      </c>
      <c r="Z11" s="7" t="str">
        <f>DEGREES(ASIN(Targets_DW[[#This Row],[TWS (km/h)]]*SIN(RADIANS(Targets_DW[[#This Row],[TWA (deg)]]+Targets_DW[[#This Row],[LEEWAY (deg)]]))/Targets_DW[[#This Row],[AWS]]))</f>
        <v>#ERROR!</v>
      </c>
      <c r="AA11" s="7" t="str">
        <f>Targets_DW[[#This Row],[AWA+Leeway]]-Targets_DW[[#This Row],[ROT (deg)]]</f>
        <v>#ERROR!</v>
      </c>
      <c r="AB11" s="7" t="str">
        <f>Targets_DW[[#This Row],[TWS (km/h)]]*(Targets_DW[[#This Row],[Wing]]/10)^0.1</f>
        <v>#ERROR!</v>
      </c>
      <c r="AC11" s="7" t="str">
        <f>SQRT(Targets_DW[[#This Row],[TWSTop]]^2+Targets_DW[[#This Row],[BSP (km/h)]]^2+2*Targets_DW[[#This Row],[BSP (km/h)]]*Targets_DW[[#This Row],[TWSTop]]*COS(RADIANS(Targets_DW[[#This Row],[TWA (deg)]]+Targets_DW[[#This Row],[LEEWAY (deg)]])))</f>
        <v>#ERROR!</v>
      </c>
      <c r="AD11" s="7" t="str">
        <f>DEGREES(ASIN(Targets_DW[[#This Row],[TWSTop]]*SIN(RADIANS(Targets_DW[[#This Row],[TWA (deg)]]+Targets_DW[[#This Row],[LEEWAY (deg)]]))/Targets_DW[[#This Row],[AWSTop]]))</f>
        <v>#ERROR!</v>
      </c>
      <c r="AE11" s="7" t="str">
        <f>Targets_DW[[#This Row],[AWA+Leeway Top]]-Targets_DW[[#This Row],[ROT (deg)]]</f>
        <v>#ERROR!</v>
      </c>
      <c r="AF11" s="7" t="str">
        <f>Targets_DW[[#This Row],[CLEW (deg)]]+Targets_DW[[#This Row],[TWIST (deg)]]</f>
        <v>#ERROR!</v>
      </c>
      <c r="AG11" s="10" t="str">
        <f>Targets_DW[[#This Row],[AWA+Leeway Top]]-Targets_DW[[#This Row],[CA6]]</f>
        <v>#ERROR!</v>
      </c>
      <c r="AH11" s="7" t="str">
        <f>Targets_DW[[#This Row],[AWA+Leeway]]-Targets_DW[[#This Row],[JibLead (deg)]]</f>
        <v>#ERROR!</v>
      </c>
    </row>
    <row r="12" ht="14.25" customHeight="1">
      <c r="A12" s="8" t="s">
        <v>34</v>
      </c>
      <c r="B12" s="9" t="s">
        <v>35</v>
      </c>
      <c r="C12" s="9" t="s">
        <v>36</v>
      </c>
      <c r="D12" s="9">
        <v>24.0</v>
      </c>
      <c r="E12" s="9" t="str">
        <f t="shared" si="1"/>
        <v>Foiling_HSB2_HSRW2-24m</v>
      </c>
      <c r="F12" s="9">
        <v>34.0</v>
      </c>
      <c r="G12" s="7" t="str">
        <f>ABS(Targets_DW[[#This Row],[BSP (km/h)]]*COS(RADIANS(Targets_DW[[#This Row],[TWA (deg)]]+Targets_DW[[#This Row],[LEEWAY (deg)]])))</f>
        <v>#ERROR!</v>
      </c>
      <c r="H12" s="7">
        <v>75.0</v>
      </c>
      <c r="I12" s="7">
        <v>149.0</v>
      </c>
      <c r="J12" s="7">
        <v>0.0</v>
      </c>
      <c r="K12" s="7">
        <v>-5.25</v>
      </c>
      <c r="L12" s="7">
        <v>-0.709061450000024</v>
      </c>
      <c r="M12" s="7" t="str">
        <f>Targets_DW[[#This Row],[CANT (deg)]]-Targets_DW[[#This Row],[HEEL (deg)]]</f>
        <v>#ERROR!</v>
      </c>
      <c r="N12" s="7">
        <v>1199.78718560001</v>
      </c>
      <c r="O12" s="7">
        <v>0.35</v>
      </c>
      <c r="P12" s="7">
        <v>4.0</v>
      </c>
      <c r="Q12" s="7">
        <v>-3.1</v>
      </c>
      <c r="R12" s="7">
        <v>-21.2</v>
      </c>
      <c r="S12" s="7" t="str">
        <f>Targets_DW[[#This Row],[CLEW (deg)]]-0.5*Targets_DW[[#This Row],[CA1 (deg)]]</f>
        <v>#ERROR!</v>
      </c>
      <c r="T12" s="7">
        <v>4.0</v>
      </c>
      <c r="U12" s="7">
        <v>18.0</v>
      </c>
      <c r="V12" s="7">
        <v>880.0</v>
      </c>
      <c r="W12" s="7">
        <v>8.8</v>
      </c>
      <c r="X12" s="7"/>
      <c r="Y12" s="7" t="str">
        <f>SQRT(Targets_DW[[#This Row],[TWS (km/h)]]^2+Targets_DW[[#This Row],[BSP (km/h)]]^2+2*Targets_DW[[#This Row],[TWS (km/h)]]*Targets_DW[[#This Row],[BSP (km/h)]]*COS(RADIANS(Targets_DW[[#This Row],[TWA (deg)]]+Targets_DW[[#This Row],[LEEWAY (deg)]])))</f>
        <v>#ERROR!</v>
      </c>
      <c r="Z12" s="7" t="str">
        <f>DEGREES(ASIN(Targets_DW[[#This Row],[TWS (km/h)]]*SIN(RADIANS(Targets_DW[[#This Row],[TWA (deg)]]+Targets_DW[[#This Row],[LEEWAY (deg)]]))/Targets_DW[[#This Row],[AWS]]))</f>
        <v>#ERROR!</v>
      </c>
      <c r="AA12" s="7" t="str">
        <f>Targets_DW[[#This Row],[AWA+Leeway]]-Targets_DW[[#This Row],[ROT (deg)]]</f>
        <v>#ERROR!</v>
      </c>
      <c r="AB12" s="7" t="str">
        <f>Targets_DW[[#This Row],[TWS (km/h)]]*(Targets_DW[[#This Row],[Wing]]/10)^0.1</f>
        <v>#ERROR!</v>
      </c>
      <c r="AC12" s="7" t="str">
        <f>SQRT(Targets_DW[[#This Row],[TWSTop]]^2+Targets_DW[[#This Row],[BSP (km/h)]]^2+2*Targets_DW[[#This Row],[BSP (km/h)]]*Targets_DW[[#This Row],[TWSTop]]*COS(RADIANS(Targets_DW[[#This Row],[TWA (deg)]]+Targets_DW[[#This Row],[LEEWAY (deg)]])))</f>
        <v>#ERROR!</v>
      </c>
      <c r="AD12" s="7" t="str">
        <f>DEGREES(ASIN(Targets_DW[[#This Row],[TWSTop]]*SIN(RADIANS(Targets_DW[[#This Row],[TWA (deg)]]+Targets_DW[[#This Row],[LEEWAY (deg)]]))/Targets_DW[[#This Row],[AWSTop]]))</f>
        <v>#ERROR!</v>
      </c>
      <c r="AE12" s="7" t="str">
        <f>Targets_DW[[#This Row],[AWA+Leeway Top]]-Targets_DW[[#This Row],[ROT (deg)]]</f>
        <v>#ERROR!</v>
      </c>
      <c r="AF12" s="7" t="str">
        <f>Targets_DW[[#This Row],[CLEW (deg)]]+Targets_DW[[#This Row],[TWIST (deg)]]</f>
        <v>#ERROR!</v>
      </c>
      <c r="AG12" s="10" t="str">
        <f>Targets_DW[[#This Row],[AWA+Leeway Top]]-Targets_DW[[#This Row],[CA6]]</f>
        <v>#ERROR!</v>
      </c>
      <c r="AH12" s="7" t="str">
        <f>Targets_DW[[#This Row],[AWA+Leeway]]-Targets_DW[[#This Row],[JibLead (deg)]]</f>
        <v>#ERROR!</v>
      </c>
    </row>
    <row r="13" ht="14.25" customHeight="1">
      <c r="A13" s="8" t="s">
        <v>34</v>
      </c>
      <c r="B13" s="9" t="s">
        <v>35</v>
      </c>
      <c r="C13" s="9" t="s">
        <v>36</v>
      </c>
      <c r="D13" s="9">
        <v>24.0</v>
      </c>
      <c r="E13" s="9" t="str">
        <f t="shared" si="1"/>
        <v>Foiling_HSB2_HSRW2-24m</v>
      </c>
      <c r="F13" s="9">
        <v>36.0</v>
      </c>
      <c r="G13" s="7" t="str">
        <f>ABS(Targets_DW[[#This Row],[BSP (km/h)]]*COS(RADIANS(Targets_DW[[#This Row],[TWA (deg)]]+Targets_DW[[#This Row],[LEEWAY (deg)]])))</f>
        <v>#ERROR!</v>
      </c>
      <c r="H13" s="7">
        <v>76.0</v>
      </c>
      <c r="I13" s="7">
        <v>151.0</v>
      </c>
      <c r="J13" s="7">
        <v>0.0</v>
      </c>
      <c r="K13" s="7">
        <v>-5.5</v>
      </c>
      <c r="L13" s="7">
        <v>-0.709061450000024</v>
      </c>
      <c r="M13" s="7" t="str">
        <f>Targets_DW[[#This Row],[CANT (deg)]]-Targets_DW[[#This Row],[HEEL (deg)]]</f>
        <v>#ERROR!</v>
      </c>
      <c r="N13" s="7">
        <v>1199.78718560001</v>
      </c>
      <c r="O13" s="7">
        <v>0.3</v>
      </c>
      <c r="P13" s="7">
        <v>3.9</v>
      </c>
      <c r="Q13" s="7">
        <v>-3.1</v>
      </c>
      <c r="R13" s="7">
        <v>-21.0</v>
      </c>
      <c r="S13" s="7" t="str">
        <f>Targets_DW[[#This Row],[CLEW (deg)]]-0.5*Targets_DW[[#This Row],[CA1 (deg)]]</f>
        <v>#ERROR!</v>
      </c>
      <c r="T13" s="7">
        <v>4.0</v>
      </c>
      <c r="U13" s="7">
        <v>17.0</v>
      </c>
      <c r="V13" s="7">
        <v>800.0</v>
      </c>
      <c r="W13" s="7">
        <v>8.9</v>
      </c>
      <c r="X13" s="7"/>
      <c r="Y13" s="7" t="str">
        <f>SQRT(Targets_DW[[#This Row],[TWS (km/h)]]^2+Targets_DW[[#This Row],[BSP (km/h)]]^2+2*Targets_DW[[#This Row],[TWS (km/h)]]*Targets_DW[[#This Row],[BSP (km/h)]]*COS(RADIANS(Targets_DW[[#This Row],[TWA (deg)]]+Targets_DW[[#This Row],[LEEWAY (deg)]])))</f>
        <v>#ERROR!</v>
      </c>
      <c r="Z13" s="7" t="str">
        <f>DEGREES(ASIN(Targets_DW[[#This Row],[TWS (km/h)]]*SIN(RADIANS(Targets_DW[[#This Row],[TWA (deg)]]+Targets_DW[[#This Row],[LEEWAY (deg)]]))/Targets_DW[[#This Row],[AWS]]))</f>
        <v>#ERROR!</v>
      </c>
      <c r="AA13" s="7" t="str">
        <f>Targets_DW[[#This Row],[AWA+Leeway]]-Targets_DW[[#This Row],[ROT (deg)]]</f>
        <v>#ERROR!</v>
      </c>
      <c r="AB13" s="7" t="str">
        <f>Targets_DW[[#This Row],[TWS (km/h)]]*(Targets_DW[[#This Row],[Wing]]/10)^0.1</f>
        <v>#ERROR!</v>
      </c>
      <c r="AC13" s="7" t="str">
        <f>SQRT(Targets_DW[[#This Row],[TWSTop]]^2+Targets_DW[[#This Row],[BSP (km/h)]]^2+2*Targets_DW[[#This Row],[BSP (km/h)]]*Targets_DW[[#This Row],[TWSTop]]*COS(RADIANS(Targets_DW[[#This Row],[TWA (deg)]]+Targets_DW[[#This Row],[LEEWAY (deg)]])))</f>
        <v>#ERROR!</v>
      </c>
      <c r="AD13" s="7" t="str">
        <f>DEGREES(ASIN(Targets_DW[[#This Row],[TWSTop]]*SIN(RADIANS(Targets_DW[[#This Row],[TWA (deg)]]+Targets_DW[[#This Row],[LEEWAY (deg)]]))/Targets_DW[[#This Row],[AWSTop]]))</f>
        <v>#ERROR!</v>
      </c>
      <c r="AE13" s="7" t="str">
        <f>Targets_DW[[#This Row],[AWA+Leeway Top]]-Targets_DW[[#This Row],[ROT (deg)]]</f>
        <v>#ERROR!</v>
      </c>
      <c r="AF13" s="7" t="str">
        <f>Targets_DW[[#This Row],[CLEW (deg)]]+Targets_DW[[#This Row],[TWIST (deg)]]</f>
        <v>#ERROR!</v>
      </c>
      <c r="AG13" s="10" t="str">
        <f>Targets_DW[[#This Row],[AWA+Leeway Top]]-Targets_DW[[#This Row],[CA6]]</f>
        <v>#ERROR!</v>
      </c>
      <c r="AH13" s="7" t="str">
        <f>Targets_DW[[#This Row],[AWA+Leeway]]-Targets_DW[[#This Row],[JibLead (deg)]]</f>
        <v>#ERROR!</v>
      </c>
    </row>
    <row r="14" ht="14.25" customHeight="1">
      <c r="A14" s="8" t="s">
        <v>34</v>
      </c>
      <c r="B14" s="9" t="s">
        <v>35</v>
      </c>
      <c r="C14" s="9" t="s">
        <v>36</v>
      </c>
      <c r="D14" s="9">
        <v>24.0</v>
      </c>
      <c r="E14" s="9" t="str">
        <f t="shared" si="1"/>
        <v>Foiling_HSB2_HSRW2-24m</v>
      </c>
      <c r="F14" s="9">
        <v>38.0</v>
      </c>
      <c r="G14" s="7" t="str">
        <f>ABS(Targets_DW[[#This Row],[BSP (km/h)]]*COS(RADIANS(Targets_DW[[#This Row],[TWA (deg)]]+Targets_DW[[#This Row],[LEEWAY (deg)]])))</f>
        <v>#ERROR!</v>
      </c>
      <c r="H14" s="7">
        <v>77.0</v>
      </c>
      <c r="I14" s="7">
        <v>153.0</v>
      </c>
      <c r="J14" s="7">
        <v>0.0</v>
      </c>
      <c r="K14" s="7">
        <v>-6.0</v>
      </c>
      <c r="L14" s="7">
        <v>-0.709061450000024</v>
      </c>
      <c r="M14" s="7" t="str">
        <f>Targets_DW[[#This Row],[CANT (deg)]]-Targets_DW[[#This Row],[HEEL (deg)]]</f>
        <v>#ERROR!</v>
      </c>
      <c r="N14" s="7">
        <v>1199.78718560001</v>
      </c>
      <c r="O14" s="7">
        <v>0.25</v>
      </c>
      <c r="P14" s="7">
        <v>3.7</v>
      </c>
      <c r="Q14" s="7">
        <v>-3.1</v>
      </c>
      <c r="R14" s="7">
        <v>-21.0</v>
      </c>
      <c r="S14" s="7" t="str">
        <f>Targets_DW[[#This Row],[CLEW (deg)]]-0.5*Targets_DW[[#This Row],[CA1 (deg)]]</f>
        <v>#ERROR!</v>
      </c>
      <c r="T14" s="7">
        <v>4.0</v>
      </c>
      <c r="U14" s="7">
        <v>16.4</v>
      </c>
      <c r="V14" s="7">
        <v>730.0</v>
      </c>
      <c r="W14" s="7">
        <v>9.0</v>
      </c>
      <c r="X14" s="7"/>
      <c r="Y14" s="7" t="str">
        <f>SQRT(Targets_DW[[#This Row],[TWS (km/h)]]^2+Targets_DW[[#This Row],[BSP (km/h)]]^2+2*Targets_DW[[#This Row],[TWS (km/h)]]*Targets_DW[[#This Row],[BSP (km/h)]]*COS(RADIANS(Targets_DW[[#This Row],[TWA (deg)]]+Targets_DW[[#This Row],[LEEWAY (deg)]])))</f>
        <v>#ERROR!</v>
      </c>
      <c r="Z14" s="7" t="str">
        <f>DEGREES(ASIN(Targets_DW[[#This Row],[TWS (km/h)]]*SIN(RADIANS(Targets_DW[[#This Row],[TWA (deg)]]+Targets_DW[[#This Row],[LEEWAY (deg)]]))/Targets_DW[[#This Row],[AWS]]))</f>
        <v>#ERROR!</v>
      </c>
      <c r="AA14" s="7" t="str">
        <f>Targets_DW[[#This Row],[AWA+Leeway]]-Targets_DW[[#This Row],[ROT (deg)]]</f>
        <v>#ERROR!</v>
      </c>
      <c r="AB14" s="7" t="str">
        <f>Targets_DW[[#This Row],[TWS (km/h)]]*(Targets_DW[[#This Row],[Wing]]/10)^0.1</f>
        <v>#ERROR!</v>
      </c>
      <c r="AC14" s="7" t="str">
        <f>SQRT(Targets_DW[[#This Row],[TWSTop]]^2+Targets_DW[[#This Row],[BSP (km/h)]]^2+2*Targets_DW[[#This Row],[BSP (km/h)]]*Targets_DW[[#This Row],[TWSTop]]*COS(RADIANS(Targets_DW[[#This Row],[TWA (deg)]]+Targets_DW[[#This Row],[LEEWAY (deg)]])))</f>
        <v>#ERROR!</v>
      </c>
      <c r="AD14" s="7" t="str">
        <f>DEGREES(ASIN(Targets_DW[[#This Row],[TWSTop]]*SIN(RADIANS(Targets_DW[[#This Row],[TWA (deg)]]+Targets_DW[[#This Row],[LEEWAY (deg)]]))/Targets_DW[[#This Row],[AWSTop]]))</f>
        <v>#ERROR!</v>
      </c>
      <c r="AE14" s="7" t="str">
        <f>Targets_DW[[#This Row],[AWA+Leeway Top]]-Targets_DW[[#This Row],[ROT (deg)]]</f>
        <v>#ERROR!</v>
      </c>
      <c r="AF14" s="7" t="str">
        <f>Targets_DW[[#This Row],[CLEW (deg)]]+Targets_DW[[#This Row],[TWIST (deg)]]</f>
        <v>#ERROR!</v>
      </c>
      <c r="AG14" s="10" t="str">
        <f>Targets_DW[[#This Row],[AWA+Leeway Top]]-Targets_DW[[#This Row],[CA6]]</f>
        <v>#ERROR!</v>
      </c>
      <c r="AH14" s="7" t="str">
        <f>Targets_DW[[#This Row],[AWA+Leeway]]-Targets_DW[[#This Row],[JibLead (deg)]]</f>
        <v>#ERROR!</v>
      </c>
    </row>
    <row r="15" ht="14.25" customHeight="1">
      <c r="A15" s="3" t="s">
        <v>34</v>
      </c>
      <c r="B15" s="4" t="s">
        <v>35</v>
      </c>
      <c r="C15" s="4" t="s">
        <v>36</v>
      </c>
      <c r="D15" s="4">
        <v>18.0</v>
      </c>
      <c r="E15" s="4" t="str">
        <f t="shared" si="1"/>
        <v>Foiling_HSB2_HSRW2-18m</v>
      </c>
      <c r="F15" s="4">
        <v>20.0</v>
      </c>
      <c r="G15" s="5" t="str">
        <f>ABS(Targets_DW[[#This Row],[BSP (km/h)]]*COS(RADIANS(Targets_DW[[#This Row],[TWA (deg)]]+Targets_DW[[#This Row],[LEEWAY (deg)]])))</f>
        <v>#ERROR!</v>
      </c>
      <c r="H15" s="5">
        <v>63.0</v>
      </c>
      <c r="I15" s="5">
        <v>130.0</v>
      </c>
      <c r="J15" s="5">
        <v>1.0</v>
      </c>
      <c r="K15" s="5">
        <v>-4.0</v>
      </c>
      <c r="L15" s="5">
        <v>2.0</v>
      </c>
      <c r="M15" s="5" t="str">
        <f>Targets_DW[[#This Row],[CANT (deg)]]-Targets_DW[[#This Row],[HEEL (deg)]]</f>
        <v>#ERROR!</v>
      </c>
      <c r="N15" s="5">
        <v>1300.0</v>
      </c>
      <c r="O15" s="5">
        <v>0.8</v>
      </c>
      <c r="P15" s="5">
        <v>4.0</v>
      </c>
      <c r="Q15" s="5">
        <v>-2.5</v>
      </c>
      <c r="R15" s="5">
        <v>-27.0</v>
      </c>
      <c r="S15" s="5" t="str">
        <f>Targets_DW[[#This Row],[CLEW (deg)]]-0.5*Targets_DW[[#This Row],[CA1 (deg)]]</f>
        <v>#ERROR!</v>
      </c>
      <c r="T15" s="5">
        <v>-2.0</v>
      </c>
      <c r="U15" s="5">
        <v>5.9</v>
      </c>
      <c r="V15" s="5">
        <v>500.0</v>
      </c>
      <c r="W15" s="5">
        <v>7.0</v>
      </c>
      <c r="X15" s="5">
        <v>700.0</v>
      </c>
      <c r="Y15" s="5" t="str">
        <f>SQRT(Targets_DW[[#This Row],[TWS (km/h)]]^2+Targets_DW[[#This Row],[BSP (km/h)]]^2+2*Targets_DW[[#This Row],[TWS (km/h)]]*Targets_DW[[#This Row],[BSP (km/h)]]*COS(RADIANS(Targets_DW[[#This Row],[TWA (deg)]]+Targets_DW[[#This Row],[LEEWAY (deg)]])))</f>
        <v>#ERROR!</v>
      </c>
      <c r="Z15" s="5" t="str">
        <f>DEGREES(ASIN(Targets_DW[[#This Row],[TWS (km/h)]]*SIN(RADIANS(Targets_DW[[#This Row],[TWA (deg)]]+Targets_DW[[#This Row],[LEEWAY (deg)]]))/Targets_DW[[#This Row],[AWS]]))</f>
        <v>#ERROR!</v>
      </c>
      <c r="AA15" s="5" t="str">
        <f>Targets_DW[[#This Row],[AWA+Leeway]]-Targets_DW[[#This Row],[ROT (deg)]]</f>
        <v>#ERROR!</v>
      </c>
      <c r="AB15" s="5" t="str">
        <f>Targets_DW[[#This Row],[TWS (km/h)]]*(Targets_DW[[#This Row],[Wing]]/10)^0.1</f>
        <v>#ERROR!</v>
      </c>
      <c r="AC15" s="5" t="str">
        <f>SQRT(Targets_DW[[#This Row],[TWSTop]]^2+Targets_DW[[#This Row],[BSP (km/h)]]^2+2*Targets_DW[[#This Row],[BSP (km/h)]]*Targets_DW[[#This Row],[TWSTop]]*COS(RADIANS(Targets_DW[[#This Row],[TWA (deg)]]+Targets_DW[[#This Row],[LEEWAY (deg)]])))</f>
        <v>#ERROR!</v>
      </c>
      <c r="AD15" s="5" t="str">
        <f>DEGREES(ASIN(Targets_DW[[#This Row],[TWSTop]]*SIN(RADIANS(Targets_DW[[#This Row],[TWA (deg)]]+Targets_DW[[#This Row],[LEEWAY (deg)]]))/Targets_DW[[#This Row],[AWSTop]]))</f>
        <v>#ERROR!</v>
      </c>
      <c r="AE15" s="5" t="str">
        <f>Targets_DW[[#This Row],[AWA+Leeway Top]]-Targets_DW[[#This Row],[ROT (deg)]]</f>
        <v>#ERROR!</v>
      </c>
      <c r="AF15" s="5" t="str">
        <f>Targets_DW[[#This Row],[CLEW (deg)]]+Targets_DW[[#This Row],[TWIST (deg)]]</f>
        <v>#ERROR!</v>
      </c>
      <c r="AG15" s="6" t="str">
        <f>Targets_DW[[#This Row],[AWA+Leeway Top]]-Targets_DW[[#This Row],[CA6]]</f>
        <v>#ERROR!</v>
      </c>
      <c r="AH15" s="7" t="str">
        <f>Targets_DW[[#This Row],[AWA+Leeway]]-Targets_DW[[#This Row],[JibLead (deg)]]</f>
        <v>#ERROR!</v>
      </c>
    </row>
    <row r="16" ht="14.25" customHeight="1">
      <c r="A16" s="8" t="s">
        <v>34</v>
      </c>
      <c r="B16" s="9" t="s">
        <v>35</v>
      </c>
      <c r="C16" s="9" t="s">
        <v>36</v>
      </c>
      <c r="D16" s="9">
        <v>18.0</v>
      </c>
      <c r="E16" s="9" t="str">
        <f t="shared" si="1"/>
        <v>Foiling_HSB2_HSRW2-18m</v>
      </c>
      <c r="F16" s="9">
        <v>22.0</v>
      </c>
      <c r="G16" s="7" t="str">
        <f>ABS(Targets_DW[[#This Row],[BSP (km/h)]]*COS(RADIANS(Targets_DW[[#This Row],[TWA (deg)]]+Targets_DW[[#This Row],[LEEWAY (deg)]])))</f>
        <v>#ERROR!</v>
      </c>
      <c r="H16" s="7">
        <v>67.0</v>
      </c>
      <c r="I16" s="7">
        <v>132.0</v>
      </c>
      <c r="J16" s="7">
        <v>1.0</v>
      </c>
      <c r="K16" s="7">
        <v>-5.0</v>
      </c>
      <c r="L16" s="7">
        <v>1.5</v>
      </c>
      <c r="M16" s="7" t="str">
        <f>Targets_DW[[#This Row],[CANT (deg)]]-Targets_DW[[#This Row],[HEEL (deg)]]</f>
        <v>#ERROR!</v>
      </c>
      <c r="N16" s="7">
        <v>1300.0</v>
      </c>
      <c r="O16" s="7">
        <v>0.7</v>
      </c>
      <c r="P16" s="7">
        <v>3.4</v>
      </c>
      <c r="Q16" s="7">
        <v>-2.3</v>
      </c>
      <c r="R16" s="7">
        <v>-26.0</v>
      </c>
      <c r="S16" s="7" t="str">
        <f>Targets_DW[[#This Row],[CLEW (deg)]]-0.5*Targets_DW[[#This Row],[CA1 (deg)]]</f>
        <v>#ERROR!</v>
      </c>
      <c r="T16" s="7">
        <v>-1.5</v>
      </c>
      <c r="U16" s="7">
        <v>6.0</v>
      </c>
      <c r="V16" s="7">
        <v>600.0</v>
      </c>
      <c r="W16" s="7">
        <v>7.0</v>
      </c>
      <c r="X16" s="7">
        <v>800.0</v>
      </c>
      <c r="Y16" s="7" t="str">
        <f>SQRT(Targets_DW[[#This Row],[TWS (km/h)]]^2+Targets_DW[[#This Row],[BSP (km/h)]]^2+2*Targets_DW[[#This Row],[TWS (km/h)]]*Targets_DW[[#This Row],[BSP (km/h)]]*COS(RADIANS(Targets_DW[[#This Row],[TWA (deg)]]+Targets_DW[[#This Row],[LEEWAY (deg)]])))</f>
        <v>#ERROR!</v>
      </c>
      <c r="Z16" s="7" t="str">
        <f>DEGREES(ASIN(Targets_DW[[#This Row],[TWS (km/h)]]*SIN(RADIANS(Targets_DW[[#This Row],[TWA (deg)]]+Targets_DW[[#This Row],[LEEWAY (deg)]]))/Targets_DW[[#This Row],[AWS]]))</f>
        <v>#ERROR!</v>
      </c>
      <c r="AA16" s="7" t="str">
        <f>Targets_DW[[#This Row],[AWA+Leeway]]-Targets_DW[[#This Row],[ROT (deg)]]</f>
        <v>#ERROR!</v>
      </c>
      <c r="AB16" s="7" t="str">
        <f>Targets_DW[[#This Row],[TWS (km/h)]]*(Targets_DW[[#This Row],[Wing]]/10)^0.1</f>
        <v>#ERROR!</v>
      </c>
      <c r="AC16" s="7" t="str">
        <f>SQRT(Targets_DW[[#This Row],[TWSTop]]^2+Targets_DW[[#This Row],[BSP (km/h)]]^2+2*Targets_DW[[#This Row],[BSP (km/h)]]*Targets_DW[[#This Row],[TWSTop]]*COS(RADIANS(Targets_DW[[#This Row],[TWA (deg)]]+Targets_DW[[#This Row],[LEEWAY (deg)]])))</f>
        <v>#ERROR!</v>
      </c>
      <c r="AD16" s="7" t="str">
        <f>DEGREES(ASIN(Targets_DW[[#This Row],[TWSTop]]*SIN(RADIANS(Targets_DW[[#This Row],[TWA (deg)]]+Targets_DW[[#This Row],[LEEWAY (deg)]]))/Targets_DW[[#This Row],[AWSTop]]))</f>
        <v>#ERROR!</v>
      </c>
      <c r="AE16" s="7" t="str">
        <f>Targets_DW[[#This Row],[AWA+Leeway Top]]-Targets_DW[[#This Row],[ROT (deg)]]</f>
        <v>#ERROR!</v>
      </c>
      <c r="AF16" s="7" t="str">
        <f>Targets_DW[[#This Row],[CLEW (deg)]]+Targets_DW[[#This Row],[TWIST (deg)]]</f>
        <v>#ERROR!</v>
      </c>
      <c r="AG16" s="10" t="str">
        <f>Targets_DW[[#This Row],[AWA+Leeway Top]]-Targets_DW[[#This Row],[CA6]]</f>
        <v>#ERROR!</v>
      </c>
      <c r="AH16" s="7" t="str">
        <f>Targets_DW[[#This Row],[AWA+Leeway]]-Targets_DW[[#This Row],[JibLead (deg)]]</f>
        <v>#ERROR!</v>
      </c>
    </row>
    <row r="17" ht="14.25" customHeight="1">
      <c r="A17" s="8" t="s">
        <v>34</v>
      </c>
      <c r="B17" s="9" t="s">
        <v>35</v>
      </c>
      <c r="C17" s="9" t="s">
        <v>36</v>
      </c>
      <c r="D17" s="9">
        <v>18.0</v>
      </c>
      <c r="E17" s="9" t="str">
        <f t="shared" si="1"/>
        <v>Foiling_HSB2_HSRW2-18m</v>
      </c>
      <c r="F17" s="9">
        <v>24.0</v>
      </c>
      <c r="G17" s="7" t="str">
        <f>ABS(Targets_DW[[#This Row],[BSP (km/h)]]*COS(RADIANS(Targets_DW[[#This Row],[TWA (deg)]]+Targets_DW[[#This Row],[LEEWAY (deg)]])))</f>
        <v>#ERROR!</v>
      </c>
      <c r="H17" s="7">
        <v>71.0</v>
      </c>
      <c r="I17" s="7">
        <v>135.0</v>
      </c>
      <c r="J17" s="7">
        <v>1.0</v>
      </c>
      <c r="K17" s="7">
        <v>-6.0</v>
      </c>
      <c r="L17" s="7">
        <v>1.0</v>
      </c>
      <c r="M17" s="7" t="str">
        <f>Targets_DW[[#This Row],[CANT (deg)]]-Targets_DW[[#This Row],[HEEL (deg)]]</f>
        <v>#ERROR!</v>
      </c>
      <c r="N17" s="7">
        <v>1280.0</v>
      </c>
      <c r="O17" s="7">
        <v>0.6</v>
      </c>
      <c r="P17" s="7">
        <v>2.8</v>
      </c>
      <c r="Q17" s="7">
        <v>-2.1</v>
      </c>
      <c r="R17" s="7">
        <v>-25.0</v>
      </c>
      <c r="S17" s="7" t="str">
        <f>Targets_DW[[#This Row],[CLEW (deg)]]-0.5*Targets_DW[[#This Row],[CA1 (deg)]]</f>
        <v>#ERROR!</v>
      </c>
      <c r="T17" s="7">
        <v>-1.0</v>
      </c>
      <c r="U17" s="7">
        <v>6.1</v>
      </c>
      <c r="V17" s="7">
        <v>700.0</v>
      </c>
      <c r="W17" s="7">
        <v>7.2</v>
      </c>
      <c r="X17" s="7">
        <v>900.0</v>
      </c>
      <c r="Y17" s="7" t="str">
        <f>SQRT(Targets_DW[[#This Row],[TWS (km/h)]]^2+Targets_DW[[#This Row],[BSP (km/h)]]^2+2*Targets_DW[[#This Row],[TWS (km/h)]]*Targets_DW[[#This Row],[BSP (km/h)]]*COS(RADIANS(Targets_DW[[#This Row],[TWA (deg)]]+Targets_DW[[#This Row],[LEEWAY (deg)]])))</f>
        <v>#ERROR!</v>
      </c>
      <c r="Z17" s="7" t="str">
        <f>DEGREES(ASIN(Targets_DW[[#This Row],[TWS (km/h)]]*SIN(RADIANS(Targets_DW[[#This Row],[TWA (deg)]]+Targets_DW[[#This Row],[LEEWAY (deg)]]))/Targets_DW[[#This Row],[AWS]]))</f>
        <v>#ERROR!</v>
      </c>
      <c r="AA17" s="7" t="str">
        <f>Targets_DW[[#This Row],[AWA+Leeway]]-Targets_DW[[#This Row],[ROT (deg)]]</f>
        <v>#ERROR!</v>
      </c>
      <c r="AB17" s="7" t="str">
        <f>Targets_DW[[#This Row],[TWS (km/h)]]*(Targets_DW[[#This Row],[Wing]]/10)^0.1</f>
        <v>#ERROR!</v>
      </c>
      <c r="AC17" s="7" t="str">
        <f>SQRT(Targets_DW[[#This Row],[TWSTop]]^2+Targets_DW[[#This Row],[BSP (km/h)]]^2+2*Targets_DW[[#This Row],[BSP (km/h)]]*Targets_DW[[#This Row],[TWSTop]]*COS(RADIANS(Targets_DW[[#This Row],[TWA (deg)]]+Targets_DW[[#This Row],[LEEWAY (deg)]])))</f>
        <v>#ERROR!</v>
      </c>
      <c r="AD17" s="7" t="str">
        <f>DEGREES(ASIN(Targets_DW[[#This Row],[TWSTop]]*SIN(RADIANS(Targets_DW[[#This Row],[TWA (deg)]]+Targets_DW[[#This Row],[LEEWAY (deg)]]))/Targets_DW[[#This Row],[AWSTop]]))</f>
        <v>#ERROR!</v>
      </c>
      <c r="AE17" s="7" t="str">
        <f>Targets_DW[[#This Row],[AWA+Leeway Top]]-Targets_DW[[#This Row],[ROT (deg)]]</f>
        <v>#ERROR!</v>
      </c>
      <c r="AF17" s="7" t="str">
        <f>Targets_DW[[#This Row],[CLEW (deg)]]+Targets_DW[[#This Row],[TWIST (deg)]]</f>
        <v>#ERROR!</v>
      </c>
      <c r="AG17" s="10" t="str">
        <f>Targets_DW[[#This Row],[AWA+Leeway Top]]-Targets_DW[[#This Row],[CA6]]</f>
        <v>#ERROR!</v>
      </c>
      <c r="AH17" s="7" t="str">
        <f>Targets_DW[[#This Row],[AWA+Leeway]]-Targets_DW[[#This Row],[JibLead (deg)]]</f>
        <v>#ERROR!</v>
      </c>
    </row>
    <row r="18" ht="14.25" customHeight="1">
      <c r="A18" s="8" t="s">
        <v>34</v>
      </c>
      <c r="B18" s="9" t="s">
        <v>35</v>
      </c>
      <c r="C18" s="9" t="s">
        <v>36</v>
      </c>
      <c r="D18" s="9">
        <v>18.0</v>
      </c>
      <c r="E18" s="9" t="str">
        <f t="shared" si="1"/>
        <v>Foiling_HSB2_HSRW2-18m</v>
      </c>
      <c r="F18" s="9">
        <v>26.0</v>
      </c>
      <c r="G18" s="7" t="str">
        <f>ABS(Targets_DW[[#This Row],[BSP (km/h)]]*COS(RADIANS(Targets_DW[[#This Row],[TWA (deg)]]+Targets_DW[[#This Row],[LEEWAY (deg)]])))</f>
        <v>#ERROR!</v>
      </c>
      <c r="H18" s="7">
        <v>75.0</v>
      </c>
      <c r="I18" s="7">
        <v>137.0</v>
      </c>
      <c r="J18" s="7">
        <v>0.95</v>
      </c>
      <c r="K18" s="7">
        <v>-7.0</v>
      </c>
      <c r="L18" s="7">
        <v>0.5</v>
      </c>
      <c r="M18" s="7" t="str">
        <f>Targets_DW[[#This Row],[CANT (deg)]]-Targets_DW[[#This Row],[HEEL (deg)]]</f>
        <v>#ERROR!</v>
      </c>
      <c r="N18" s="7">
        <v>1250.0</v>
      </c>
      <c r="O18" s="7">
        <v>0.46</v>
      </c>
      <c r="P18" s="7">
        <v>2.5</v>
      </c>
      <c r="Q18" s="7">
        <v>-1.9</v>
      </c>
      <c r="R18" s="7">
        <v>-24.0</v>
      </c>
      <c r="S18" s="7" t="str">
        <f>Targets_DW[[#This Row],[CLEW (deg)]]-0.5*Targets_DW[[#This Row],[CA1 (deg)]]</f>
        <v>#ERROR!</v>
      </c>
      <c r="T18" s="7">
        <v>-0.5</v>
      </c>
      <c r="U18" s="7">
        <v>6.2</v>
      </c>
      <c r="V18" s="7">
        <v>800.0</v>
      </c>
      <c r="W18" s="7">
        <v>7.5</v>
      </c>
      <c r="X18" s="7">
        <v>1000.0</v>
      </c>
      <c r="Y18" s="7" t="str">
        <f>SQRT(Targets_DW[[#This Row],[TWS (km/h)]]^2+Targets_DW[[#This Row],[BSP (km/h)]]^2+2*Targets_DW[[#This Row],[TWS (km/h)]]*Targets_DW[[#This Row],[BSP (km/h)]]*COS(RADIANS(Targets_DW[[#This Row],[TWA (deg)]]+Targets_DW[[#This Row],[LEEWAY (deg)]])))</f>
        <v>#ERROR!</v>
      </c>
      <c r="Z18" s="7" t="str">
        <f>DEGREES(ASIN(Targets_DW[[#This Row],[TWS (km/h)]]*SIN(RADIANS(Targets_DW[[#This Row],[TWA (deg)]]+Targets_DW[[#This Row],[LEEWAY (deg)]]))/Targets_DW[[#This Row],[AWS]]))</f>
        <v>#ERROR!</v>
      </c>
      <c r="AA18" s="7" t="str">
        <f>Targets_DW[[#This Row],[AWA+Leeway]]-Targets_DW[[#This Row],[ROT (deg)]]</f>
        <v>#ERROR!</v>
      </c>
      <c r="AB18" s="7" t="str">
        <f>Targets_DW[[#This Row],[TWS (km/h)]]*(Targets_DW[[#This Row],[Wing]]/10)^0.1</f>
        <v>#ERROR!</v>
      </c>
      <c r="AC18" s="7" t="str">
        <f>SQRT(Targets_DW[[#This Row],[TWSTop]]^2+Targets_DW[[#This Row],[BSP (km/h)]]^2+2*Targets_DW[[#This Row],[BSP (km/h)]]*Targets_DW[[#This Row],[TWSTop]]*COS(RADIANS(Targets_DW[[#This Row],[TWA (deg)]]+Targets_DW[[#This Row],[LEEWAY (deg)]])))</f>
        <v>#ERROR!</v>
      </c>
      <c r="AD18" s="7" t="str">
        <f>DEGREES(ASIN(Targets_DW[[#This Row],[TWSTop]]*SIN(RADIANS(Targets_DW[[#This Row],[TWA (deg)]]+Targets_DW[[#This Row],[LEEWAY (deg)]]))/Targets_DW[[#This Row],[AWSTop]]))</f>
        <v>#ERROR!</v>
      </c>
      <c r="AE18" s="7" t="str">
        <f>Targets_DW[[#This Row],[AWA+Leeway Top]]-Targets_DW[[#This Row],[ROT (deg)]]</f>
        <v>#ERROR!</v>
      </c>
      <c r="AF18" s="7" t="str">
        <f>Targets_DW[[#This Row],[CLEW (deg)]]+Targets_DW[[#This Row],[TWIST (deg)]]</f>
        <v>#ERROR!</v>
      </c>
      <c r="AG18" s="10" t="str">
        <f>Targets_DW[[#This Row],[AWA+Leeway Top]]-Targets_DW[[#This Row],[CA6]]</f>
        <v>#ERROR!</v>
      </c>
      <c r="AH18" s="7" t="str">
        <f>Targets_DW[[#This Row],[AWA+Leeway]]-Targets_DW[[#This Row],[JibLead (deg)]]</f>
        <v>#ERROR!</v>
      </c>
    </row>
    <row r="19" ht="14.25" customHeight="1">
      <c r="A19" s="8" t="s">
        <v>34</v>
      </c>
      <c r="B19" s="9" t="s">
        <v>35</v>
      </c>
      <c r="C19" s="9" t="s">
        <v>36</v>
      </c>
      <c r="D19" s="9">
        <v>18.0</v>
      </c>
      <c r="E19" s="9" t="str">
        <f t="shared" si="1"/>
        <v>Foiling_HSB2_HSRW2-18m</v>
      </c>
      <c r="F19" s="9">
        <v>28.0</v>
      </c>
      <c r="G19" s="7" t="str">
        <f>ABS(Targets_DW[[#This Row],[BSP (km/h)]]*COS(RADIANS(Targets_DW[[#This Row],[TWA (deg)]]+Targets_DW[[#This Row],[LEEWAY (deg)]])))</f>
        <v>#ERROR!</v>
      </c>
      <c r="H19" s="7">
        <v>78.0</v>
      </c>
      <c r="I19" s="7">
        <v>139.0</v>
      </c>
      <c r="J19" s="7">
        <v>0.9</v>
      </c>
      <c r="K19" s="7">
        <v>-8.0</v>
      </c>
      <c r="L19" s="7">
        <v>0.2</v>
      </c>
      <c r="M19" s="7" t="str">
        <f>Targets_DW[[#This Row],[CANT (deg)]]-Targets_DW[[#This Row],[HEEL (deg)]]</f>
        <v>#ERROR!</v>
      </c>
      <c r="N19" s="7">
        <v>1220.0</v>
      </c>
      <c r="O19" s="7">
        <v>0.38</v>
      </c>
      <c r="P19" s="7">
        <v>2.2</v>
      </c>
      <c r="Q19" s="7">
        <v>-1.8</v>
      </c>
      <c r="R19" s="7">
        <v>-23.5</v>
      </c>
      <c r="S19" s="7" t="str">
        <f>Targets_DW[[#This Row],[CLEW (deg)]]-0.5*Targets_DW[[#This Row],[CA1 (deg)]]</f>
        <v>#ERROR!</v>
      </c>
      <c r="T19" s="7">
        <v>-0.2</v>
      </c>
      <c r="U19" s="7">
        <v>6.3</v>
      </c>
      <c r="V19" s="7">
        <v>950.0</v>
      </c>
      <c r="W19" s="7">
        <v>7.8</v>
      </c>
      <c r="X19" s="7">
        <v>1050.0</v>
      </c>
      <c r="Y19" s="7" t="str">
        <f>SQRT(Targets_DW[[#This Row],[TWS (km/h)]]^2+Targets_DW[[#This Row],[BSP (km/h)]]^2+2*Targets_DW[[#This Row],[TWS (km/h)]]*Targets_DW[[#This Row],[BSP (km/h)]]*COS(RADIANS(Targets_DW[[#This Row],[TWA (deg)]]+Targets_DW[[#This Row],[LEEWAY (deg)]])))</f>
        <v>#ERROR!</v>
      </c>
      <c r="Z19" s="7" t="str">
        <f>DEGREES(ASIN(Targets_DW[[#This Row],[TWS (km/h)]]*SIN(RADIANS(Targets_DW[[#This Row],[TWA (deg)]]+Targets_DW[[#This Row],[LEEWAY (deg)]]))/Targets_DW[[#This Row],[AWS]]))</f>
        <v>#ERROR!</v>
      </c>
      <c r="AA19" s="7" t="str">
        <f>Targets_DW[[#This Row],[AWA+Leeway]]-Targets_DW[[#This Row],[ROT (deg)]]</f>
        <v>#ERROR!</v>
      </c>
      <c r="AB19" s="7" t="str">
        <f>Targets_DW[[#This Row],[TWS (km/h)]]*(Targets_DW[[#This Row],[Wing]]/10)^0.1</f>
        <v>#ERROR!</v>
      </c>
      <c r="AC19" s="7" t="str">
        <f>SQRT(Targets_DW[[#This Row],[TWSTop]]^2+Targets_DW[[#This Row],[BSP (km/h)]]^2+2*Targets_DW[[#This Row],[BSP (km/h)]]*Targets_DW[[#This Row],[TWSTop]]*COS(RADIANS(Targets_DW[[#This Row],[TWA (deg)]]+Targets_DW[[#This Row],[LEEWAY (deg)]])))</f>
        <v>#ERROR!</v>
      </c>
      <c r="AD19" s="7" t="str">
        <f>DEGREES(ASIN(Targets_DW[[#This Row],[TWSTop]]*SIN(RADIANS(Targets_DW[[#This Row],[TWA (deg)]]+Targets_DW[[#This Row],[LEEWAY (deg)]]))/Targets_DW[[#This Row],[AWSTop]]))</f>
        <v>#ERROR!</v>
      </c>
      <c r="AE19" s="7" t="str">
        <f>Targets_DW[[#This Row],[AWA+Leeway Top]]-Targets_DW[[#This Row],[ROT (deg)]]</f>
        <v>#ERROR!</v>
      </c>
      <c r="AF19" s="7" t="str">
        <f>Targets_DW[[#This Row],[CLEW (deg)]]+Targets_DW[[#This Row],[TWIST (deg)]]</f>
        <v>#ERROR!</v>
      </c>
      <c r="AG19" s="10" t="str">
        <f>Targets_DW[[#This Row],[AWA+Leeway Top]]-Targets_DW[[#This Row],[CA6]]</f>
        <v>#ERROR!</v>
      </c>
      <c r="AH19" s="7" t="str">
        <f>Targets_DW[[#This Row],[AWA+Leeway]]-Targets_DW[[#This Row],[JibLead (deg)]]</f>
        <v>#ERROR!</v>
      </c>
    </row>
    <row r="20" ht="14.25" customHeight="1">
      <c r="A20" s="8" t="s">
        <v>34</v>
      </c>
      <c r="B20" s="9" t="s">
        <v>35</v>
      </c>
      <c r="C20" s="9" t="s">
        <v>36</v>
      </c>
      <c r="D20" s="9">
        <v>18.0</v>
      </c>
      <c r="E20" s="9" t="str">
        <f t="shared" si="1"/>
        <v>Foiling_HSB2_HSRW2-18m</v>
      </c>
      <c r="F20" s="9">
        <v>30.0</v>
      </c>
      <c r="G20" s="7" t="str">
        <f>ABS(Targets_DW[[#This Row],[BSP (km/h)]]*COS(RADIANS(Targets_DW[[#This Row],[TWA (deg)]]+Targets_DW[[#This Row],[LEEWAY (deg)]])))</f>
        <v>#ERROR!</v>
      </c>
      <c r="H20" s="7">
        <v>80.0</v>
      </c>
      <c r="I20" s="7">
        <v>141.0</v>
      </c>
      <c r="J20" s="7">
        <v>0.85</v>
      </c>
      <c r="K20" s="7">
        <v>-9.0</v>
      </c>
      <c r="L20" s="7">
        <v>0.0</v>
      </c>
      <c r="M20" s="7" t="str">
        <f>Targets_DW[[#This Row],[CANT (deg)]]-Targets_DW[[#This Row],[HEEL (deg)]]</f>
        <v>#ERROR!</v>
      </c>
      <c r="N20" s="7">
        <v>1200.0</v>
      </c>
      <c r="O20" s="7">
        <v>0.29</v>
      </c>
      <c r="P20" s="7">
        <v>2.0</v>
      </c>
      <c r="Q20" s="7">
        <v>-1.7</v>
      </c>
      <c r="R20" s="7">
        <v>-22.5</v>
      </c>
      <c r="S20" s="7" t="str">
        <f>Targets_DW[[#This Row],[CLEW (deg)]]-0.5*Targets_DW[[#This Row],[CA1 (deg)]]</f>
        <v>#ERROR!</v>
      </c>
      <c r="T20" s="7">
        <v>0.4</v>
      </c>
      <c r="U20" s="7">
        <v>6.4</v>
      </c>
      <c r="V20" s="7">
        <v>1100.0</v>
      </c>
      <c r="W20" s="7">
        <v>8.1</v>
      </c>
      <c r="X20" s="7">
        <v>1050.0</v>
      </c>
      <c r="Y20" s="7" t="str">
        <f>SQRT(Targets_DW[[#This Row],[TWS (km/h)]]^2+Targets_DW[[#This Row],[BSP (km/h)]]^2+2*Targets_DW[[#This Row],[TWS (km/h)]]*Targets_DW[[#This Row],[BSP (km/h)]]*COS(RADIANS(Targets_DW[[#This Row],[TWA (deg)]]+Targets_DW[[#This Row],[LEEWAY (deg)]])))</f>
        <v>#ERROR!</v>
      </c>
      <c r="Z20" s="7" t="str">
        <f>DEGREES(ASIN(Targets_DW[[#This Row],[TWS (km/h)]]*SIN(RADIANS(Targets_DW[[#This Row],[TWA (deg)]]+Targets_DW[[#This Row],[LEEWAY (deg)]]))/Targets_DW[[#This Row],[AWS]]))</f>
        <v>#ERROR!</v>
      </c>
      <c r="AA20" s="7" t="str">
        <f>Targets_DW[[#This Row],[AWA+Leeway]]-Targets_DW[[#This Row],[ROT (deg)]]</f>
        <v>#ERROR!</v>
      </c>
      <c r="AB20" s="7" t="str">
        <f>Targets_DW[[#This Row],[TWS (km/h)]]*(Targets_DW[[#This Row],[Wing]]/10)^0.1</f>
        <v>#ERROR!</v>
      </c>
      <c r="AC20" s="7" t="str">
        <f>SQRT(Targets_DW[[#This Row],[TWSTop]]^2+Targets_DW[[#This Row],[BSP (km/h)]]^2+2*Targets_DW[[#This Row],[BSP (km/h)]]*Targets_DW[[#This Row],[TWSTop]]*COS(RADIANS(Targets_DW[[#This Row],[TWA (deg)]]+Targets_DW[[#This Row],[LEEWAY (deg)]])))</f>
        <v>#ERROR!</v>
      </c>
      <c r="AD20" s="7" t="str">
        <f>DEGREES(ASIN(Targets_DW[[#This Row],[TWSTop]]*SIN(RADIANS(Targets_DW[[#This Row],[TWA (deg)]]+Targets_DW[[#This Row],[LEEWAY (deg)]]))/Targets_DW[[#This Row],[AWSTop]]))</f>
        <v>#ERROR!</v>
      </c>
      <c r="AE20" s="7" t="str">
        <f>Targets_DW[[#This Row],[AWA+Leeway Top]]-Targets_DW[[#This Row],[ROT (deg)]]</f>
        <v>#ERROR!</v>
      </c>
      <c r="AF20" s="7" t="str">
        <f>Targets_DW[[#This Row],[CLEW (deg)]]+Targets_DW[[#This Row],[TWIST (deg)]]</f>
        <v>#ERROR!</v>
      </c>
      <c r="AG20" s="10" t="str">
        <f>Targets_DW[[#This Row],[AWA+Leeway Top]]-Targets_DW[[#This Row],[CA6]]</f>
        <v>#ERROR!</v>
      </c>
      <c r="AH20" s="7" t="str">
        <f>Targets_DW[[#This Row],[AWA+Leeway]]-Targets_DW[[#This Row],[JibLead (deg)]]</f>
        <v>#ERROR!</v>
      </c>
    </row>
    <row r="21" ht="14.25" customHeight="1">
      <c r="A21" s="8" t="s">
        <v>34</v>
      </c>
      <c r="B21" s="9" t="s">
        <v>35</v>
      </c>
      <c r="C21" s="9" t="s">
        <v>36</v>
      </c>
      <c r="D21" s="9">
        <v>18.0</v>
      </c>
      <c r="E21" s="9" t="str">
        <f t="shared" si="1"/>
        <v>Foiling_HSB2_HSRW2-18m</v>
      </c>
      <c r="F21" s="9">
        <v>32.0</v>
      </c>
      <c r="G21" s="7" t="str">
        <f>ABS(Targets_DW[[#This Row],[BSP (km/h)]]*COS(RADIANS(Targets_DW[[#This Row],[TWA (deg)]]+Targets_DW[[#This Row],[LEEWAY (deg)]])))</f>
        <v>#ERROR!</v>
      </c>
      <c r="H21" s="7">
        <v>81.0</v>
      </c>
      <c r="I21" s="7">
        <v>142.0</v>
      </c>
      <c r="J21" s="7">
        <v>0.8</v>
      </c>
      <c r="K21" s="7">
        <v>-9.5</v>
      </c>
      <c r="L21" s="7">
        <v>0.0</v>
      </c>
      <c r="M21" s="7" t="str">
        <f>Targets_DW[[#This Row],[CANT (deg)]]-Targets_DW[[#This Row],[HEEL (deg)]]</f>
        <v>#ERROR!</v>
      </c>
      <c r="N21" s="7">
        <v>1200.0</v>
      </c>
      <c r="O21" s="7">
        <v>0.21</v>
      </c>
      <c r="P21" s="7">
        <v>1.8</v>
      </c>
      <c r="Q21" s="7">
        <v>-1.6</v>
      </c>
      <c r="R21" s="7">
        <v>-21.5</v>
      </c>
      <c r="S21" s="7" t="str">
        <f>Targets_DW[[#This Row],[CLEW (deg)]]-0.5*Targets_DW[[#This Row],[CA1 (deg)]]</f>
        <v>#ERROR!</v>
      </c>
      <c r="T21" s="7">
        <v>1.0</v>
      </c>
      <c r="U21" s="7">
        <v>6.5</v>
      </c>
      <c r="V21" s="7">
        <v>1250.0</v>
      </c>
      <c r="W21" s="7">
        <v>8.4</v>
      </c>
      <c r="X21" s="7">
        <v>1020.0</v>
      </c>
      <c r="Y21" s="7" t="str">
        <f>SQRT(Targets_DW[[#This Row],[TWS (km/h)]]^2+Targets_DW[[#This Row],[BSP (km/h)]]^2+2*Targets_DW[[#This Row],[TWS (km/h)]]*Targets_DW[[#This Row],[BSP (km/h)]]*COS(RADIANS(Targets_DW[[#This Row],[TWA (deg)]]+Targets_DW[[#This Row],[LEEWAY (deg)]])))</f>
        <v>#ERROR!</v>
      </c>
      <c r="Z21" s="7" t="str">
        <f>DEGREES(ASIN(Targets_DW[[#This Row],[TWS (km/h)]]*SIN(RADIANS(Targets_DW[[#This Row],[TWA (deg)]]+Targets_DW[[#This Row],[LEEWAY (deg)]]))/Targets_DW[[#This Row],[AWS]]))</f>
        <v>#ERROR!</v>
      </c>
      <c r="AA21" s="7" t="str">
        <f>Targets_DW[[#This Row],[AWA+Leeway]]-Targets_DW[[#This Row],[ROT (deg)]]</f>
        <v>#ERROR!</v>
      </c>
      <c r="AB21" s="7" t="str">
        <f>Targets_DW[[#This Row],[TWS (km/h)]]*(Targets_DW[[#This Row],[Wing]]/10)^0.1</f>
        <v>#ERROR!</v>
      </c>
      <c r="AC21" s="7" t="str">
        <f>SQRT(Targets_DW[[#This Row],[TWSTop]]^2+Targets_DW[[#This Row],[BSP (km/h)]]^2+2*Targets_DW[[#This Row],[BSP (km/h)]]*Targets_DW[[#This Row],[TWSTop]]*COS(RADIANS(Targets_DW[[#This Row],[TWA (deg)]]+Targets_DW[[#This Row],[LEEWAY (deg)]])))</f>
        <v>#ERROR!</v>
      </c>
      <c r="AD21" s="7" t="str">
        <f>DEGREES(ASIN(Targets_DW[[#This Row],[TWSTop]]*SIN(RADIANS(Targets_DW[[#This Row],[TWA (deg)]]+Targets_DW[[#This Row],[LEEWAY (deg)]]))/Targets_DW[[#This Row],[AWSTop]]))</f>
        <v>#ERROR!</v>
      </c>
      <c r="AE21" s="7" t="str">
        <f>Targets_DW[[#This Row],[AWA+Leeway Top]]-Targets_DW[[#This Row],[ROT (deg)]]</f>
        <v>#ERROR!</v>
      </c>
      <c r="AF21" s="7" t="str">
        <f>Targets_DW[[#This Row],[CLEW (deg)]]+Targets_DW[[#This Row],[TWIST (deg)]]</f>
        <v>#ERROR!</v>
      </c>
      <c r="AG21" s="10" t="str">
        <f>Targets_DW[[#This Row],[AWA+Leeway Top]]-Targets_DW[[#This Row],[CA6]]</f>
        <v>#ERROR!</v>
      </c>
      <c r="AH21" s="7" t="str">
        <f>Targets_DW[[#This Row],[AWA+Leeway]]-Targets_DW[[#This Row],[JibLead (deg)]]</f>
        <v>#ERROR!</v>
      </c>
    </row>
    <row r="22" ht="14.25" customHeight="1">
      <c r="A22" s="8" t="s">
        <v>34</v>
      </c>
      <c r="B22" s="9" t="s">
        <v>35</v>
      </c>
      <c r="C22" s="9" t="s">
        <v>36</v>
      </c>
      <c r="D22" s="9">
        <v>18.0</v>
      </c>
      <c r="E22" s="9" t="str">
        <f t="shared" si="1"/>
        <v>Foiling_HSB2_HSRW2-18m</v>
      </c>
      <c r="F22" s="9">
        <v>34.0</v>
      </c>
      <c r="G22" s="7" t="str">
        <f>ABS(Targets_DW[[#This Row],[BSP (km/h)]]*COS(RADIANS(Targets_DW[[#This Row],[TWA (deg)]]+Targets_DW[[#This Row],[LEEWAY (deg)]])))</f>
        <v>#ERROR!</v>
      </c>
      <c r="H22" s="7">
        <v>82.0</v>
      </c>
      <c r="I22" s="7">
        <v>143.0</v>
      </c>
      <c r="J22" s="7">
        <v>0.75</v>
      </c>
      <c r="K22" s="7">
        <v>-10.0</v>
      </c>
      <c r="L22" s="7">
        <v>0.0</v>
      </c>
      <c r="M22" s="7" t="str">
        <f>Targets_DW[[#This Row],[CANT (deg)]]-Targets_DW[[#This Row],[HEEL (deg)]]</f>
        <v>#ERROR!</v>
      </c>
      <c r="N22" s="7">
        <v>1200.0</v>
      </c>
      <c r="O22" s="7">
        <v>0.1</v>
      </c>
      <c r="P22" s="7">
        <v>1.7</v>
      </c>
      <c r="Q22" s="7">
        <v>-1.5</v>
      </c>
      <c r="R22" s="7">
        <v>-21.0</v>
      </c>
      <c r="S22" s="7" t="str">
        <f>Targets_DW[[#This Row],[CLEW (deg)]]-0.5*Targets_DW[[#This Row],[CA1 (deg)]]</f>
        <v>#ERROR!</v>
      </c>
      <c r="T22" s="7">
        <v>1.5</v>
      </c>
      <c r="U22" s="7">
        <v>6.9</v>
      </c>
      <c r="V22" s="7">
        <v>1400.0</v>
      </c>
      <c r="W22" s="7">
        <v>8.7</v>
      </c>
      <c r="X22" s="7">
        <v>980.0</v>
      </c>
      <c r="Y22" s="7" t="str">
        <f>SQRT(Targets_DW[[#This Row],[TWS (km/h)]]^2+Targets_DW[[#This Row],[BSP (km/h)]]^2+2*Targets_DW[[#This Row],[TWS (km/h)]]*Targets_DW[[#This Row],[BSP (km/h)]]*COS(RADIANS(Targets_DW[[#This Row],[TWA (deg)]]+Targets_DW[[#This Row],[LEEWAY (deg)]])))</f>
        <v>#ERROR!</v>
      </c>
      <c r="Z22" s="7" t="str">
        <f>DEGREES(ASIN(Targets_DW[[#This Row],[TWS (km/h)]]*SIN(RADIANS(Targets_DW[[#This Row],[TWA (deg)]]+Targets_DW[[#This Row],[LEEWAY (deg)]]))/Targets_DW[[#This Row],[AWS]]))</f>
        <v>#ERROR!</v>
      </c>
      <c r="AA22" s="7" t="str">
        <f>Targets_DW[[#This Row],[AWA+Leeway]]-Targets_DW[[#This Row],[ROT (deg)]]</f>
        <v>#ERROR!</v>
      </c>
      <c r="AB22" s="7" t="str">
        <f>Targets_DW[[#This Row],[TWS (km/h)]]*(Targets_DW[[#This Row],[Wing]]/10)^0.1</f>
        <v>#ERROR!</v>
      </c>
      <c r="AC22" s="7" t="str">
        <f>SQRT(Targets_DW[[#This Row],[TWSTop]]^2+Targets_DW[[#This Row],[BSP (km/h)]]^2+2*Targets_DW[[#This Row],[BSP (km/h)]]*Targets_DW[[#This Row],[TWSTop]]*COS(RADIANS(Targets_DW[[#This Row],[TWA (deg)]]+Targets_DW[[#This Row],[LEEWAY (deg)]])))</f>
        <v>#ERROR!</v>
      </c>
      <c r="AD22" s="7" t="str">
        <f>DEGREES(ASIN(Targets_DW[[#This Row],[TWSTop]]*SIN(RADIANS(Targets_DW[[#This Row],[TWA (deg)]]+Targets_DW[[#This Row],[LEEWAY (deg)]]))/Targets_DW[[#This Row],[AWSTop]]))</f>
        <v>#ERROR!</v>
      </c>
      <c r="AE22" s="7" t="str">
        <f>Targets_DW[[#This Row],[AWA+Leeway Top]]-Targets_DW[[#This Row],[ROT (deg)]]</f>
        <v>#ERROR!</v>
      </c>
      <c r="AF22" s="7" t="str">
        <f>Targets_DW[[#This Row],[CLEW (deg)]]+Targets_DW[[#This Row],[TWIST (deg)]]</f>
        <v>#ERROR!</v>
      </c>
      <c r="AG22" s="10" t="str">
        <f>Targets_DW[[#This Row],[AWA+Leeway Top]]-Targets_DW[[#This Row],[CA6]]</f>
        <v>#ERROR!</v>
      </c>
      <c r="AH22" s="7" t="str">
        <f>Targets_DW[[#This Row],[AWA+Leeway]]-Targets_DW[[#This Row],[JibLead (deg)]]</f>
        <v>#ERROR!</v>
      </c>
    </row>
    <row r="23" ht="14.25" customHeight="1">
      <c r="A23" s="8" t="s">
        <v>34</v>
      </c>
      <c r="B23" s="9" t="s">
        <v>35</v>
      </c>
      <c r="C23" s="9" t="s">
        <v>36</v>
      </c>
      <c r="D23" s="9">
        <v>18.0</v>
      </c>
      <c r="E23" s="9" t="str">
        <f t="shared" si="1"/>
        <v>Foiling_HSB2_HSRW2-18m</v>
      </c>
      <c r="F23" s="9">
        <v>36.0</v>
      </c>
      <c r="G23" s="7" t="str">
        <f>ABS(Targets_DW[[#This Row],[BSP (km/h)]]*COS(RADIANS(Targets_DW[[#This Row],[TWA (deg)]]+Targets_DW[[#This Row],[LEEWAY (deg)]])))</f>
        <v>#ERROR!</v>
      </c>
      <c r="H23" s="7">
        <v>83.0</v>
      </c>
      <c r="I23" s="7">
        <v>144.0</v>
      </c>
      <c r="J23" s="7">
        <v>0.75</v>
      </c>
      <c r="K23" s="7">
        <v>-10.0</v>
      </c>
      <c r="L23" s="7">
        <v>0.0</v>
      </c>
      <c r="M23" s="7" t="str">
        <f>Targets_DW[[#This Row],[CANT (deg)]]-Targets_DW[[#This Row],[HEEL (deg)]]</f>
        <v>#ERROR!</v>
      </c>
      <c r="N23" s="7">
        <v>1200.0</v>
      </c>
      <c r="O23" s="7">
        <v>0.03</v>
      </c>
      <c r="P23" s="7">
        <v>1.6</v>
      </c>
      <c r="Q23" s="7">
        <v>-1.5</v>
      </c>
      <c r="R23" s="7">
        <v>-20.5</v>
      </c>
      <c r="S23" s="7" t="str">
        <f>Targets_DW[[#This Row],[CLEW (deg)]]-0.5*Targets_DW[[#This Row],[CA1 (deg)]]</f>
        <v>#ERROR!</v>
      </c>
      <c r="T23" s="7">
        <v>2.0</v>
      </c>
      <c r="U23" s="7">
        <v>7.6</v>
      </c>
      <c r="V23" s="7">
        <v>1400.0</v>
      </c>
      <c r="W23" s="7">
        <v>9.0</v>
      </c>
      <c r="X23" s="7">
        <v>960.0</v>
      </c>
      <c r="Y23" s="7" t="str">
        <f>SQRT(Targets_DW[[#This Row],[TWS (km/h)]]^2+Targets_DW[[#This Row],[BSP (km/h)]]^2+2*Targets_DW[[#This Row],[TWS (km/h)]]*Targets_DW[[#This Row],[BSP (km/h)]]*COS(RADIANS(Targets_DW[[#This Row],[TWA (deg)]]+Targets_DW[[#This Row],[LEEWAY (deg)]])))</f>
        <v>#ERROR!</v>
      </c>
      <c r="Z23" s="7" t="str">
        <f>DEGREES(ASIN(Targets_DW[[#This Row],[TWS (km/h)]]*SIN(RADIANS(Targets_DW[[#This Row],[TWA (deg)]]+Targets_DW[[#This Row],[LEEWAY (deg)]]))/Targets_DW[[#This Row],[AWS]]))</f>
        <v>#ERROR!</v>
      </c>
      <c r="AA23" s="7" t="str">
        <f>Targets_DW[[#This Row],[AWA+Leeway]]-Targets_DW[[#This Row],[ROT (deg)]]</f>
        <v>#ERROR!</v>
      </c>
      <c r="AB23" s="7" t="str">
        <f>Targets_DW[[#This Row],[TWS (km/h)]]*(Targets_DW[[#This Row],[Wing]]/10)^0.1</f>
        <v>#ERROR!</v>
      </c>
      <c r="AC23" s="7" t="str">
        <f>SQRT(Targets_DW[[#This Row],[TWSTop]]^2+Targets_DW[[#This Row],[BSP (km/h)]]^2+2*Targets_DW[[#This Row],[BSP (km/h)]]*Targets_DW[[#This Row],[TWSTop]]*COS(RADIANS(Targets_DW[[#This Row],[TWA (deg)]]+Targets_DW[[#This Row],[LEEWAY (deg)]])))</f>
        <v>#ERROR!</v>
      </c>
      <c r="AD23" s="7" t="str">
        <f>DEGREES(ASIN(Targets_DW[[#This Row],[TWSTop]]*SIN(RADIANS(Targets_DW[[#This Row],[TWA (deg)]]+Targets_DW[[#This Row],[LEEWAY (deg)]]))/Targets_DW[[#This Row],[AWSTop]]))</f>
        <v>#ERROR!</v>
      </c>
      <c r="AE23" s="7" t="str">
        <f>Targets_DW[[#This Row],[AWA+Leeway Top]]-Targets_DW[[#This Row],[ROT (deg)]]</f>
        <v>#ERROR!</v>
      </c>
      <c r="AF23" s="7" t="str">
        <f>Targets_DW[[#This Row],[CLEW (deg)]]+Targets_DW[[#This Row],[TWIST (deg)]]</f>
        <v>#ERROR!</v>
      </c>
      <c r="AG23" s="10" t="str">
        <f>Targets_DW[[#This Row],[AWA+Leeway Top]]-Targets_DW[[#This Row],[CA6]]</f>
        <v>#ERROR!</v>
      </c>
      <c r="AH23" s="7" t="str">
        <f>Targets_DW[[#This Row],[AWA+Leeway]]-Targets_DW[[#This Row],[JibLead (deg)]]</f>
        <v>#ERROR!</v>
      </c>
    </row>
    <row r="24" ht="14.25" customHeight="1">
      <c r="A24" s="8" t="s">
        <v>34</v>
      </c>
      <c r="B24" s="9" t="s">
        <v>35</v>
      </c>
      <c r="C24" s="9" t="s">
        <v>36</v>
      </c>
      <c r="D24" s="9">
        <v>18.0</v>
      </c>
      <c r="E24" s="9" t="str">
        <f t="shared" si="1"/>
        <v>Foiling_HSB2_HSRW2-18m</v>
      </c>
      <c r="F24" s="9">
        <v>38.0</v>
      </c>
      <c r="G24" s="7" t="str">
        <f>ABS(Targets_DW[[#This Row],[BSP (km/h)]]*COS(RADIANS(Targets_DW[[#This Row],[TWA (deg)]]+Targets_DW[[#This Row],[LEEWAY (deg)]])))</f>
        <v>#ERROR!</v>
      </c>
      <c r="H24" s="7">
        <v>84.0</v>
      </c>
      <c r="I24" s="7">
        <v>145.0</v>
      </c>
      <c r="J24" s="7">
        <v>0.75</v>
      </c>
      <c r="K24" s="7">
        <v>-10.0</v>
      </c>
      <c r="L24" s="7">
        <v>-0.1</v>
      </c>
      <c r="M24" s="7" t="str">
        <f>Targets_DW[[#This Row],[CANT (deg)]]-Targets_DW[[#This Row],[HEEL (deg)]]</f>
        <v>#ERROR!</v>
      </c>
      <c r="N24" s="7">
        <v>1200.0</v>
      </c>
      <c r="O24" s="7">
        <v>0.0</v>
      </c>
      <c r="P24" s="7">
        <v>1.5</v>
      </c>
      <c r="Q24" s="7">
        <v>-1.5</v>
      </c>
      <c r="R24" s="7">
        <v>-20.0</v>
      </c>
      <c r="S24" s="7" t="str">
        <f>Targets_DW[[#This Row],[CLEW (deg)]]-0.5*Targets_DW[[#This Row],[CA1 (deg)]]</f>
        <v>#ERROR!</v>
      </c>
      <c r="T24" s="7">
        <v>2.5</v>
      </c>
      <c r="U24" s="7">
        <v>8.4</v>
      </c>
      <c r="V24" s="7">
        <v>1350.0</v>
      </c>
      <c r="W24" s="7">
        <v>9.0</v>
      </c>
      <c r="X24" s="7">
        <v>920.0</v>
      </c>
      <c r="Y24" s="7" t="str">
        <f>SQRT(Targets_DW[[#This Row],[TWS (km/h)]]^2+Targets_DW[[#This Row],[BSP (km/h)]]^2+2*Targets_DW[[#This Row],[TWS (km/h)]]*Targets_DW[[#This Row],[BSP (km/h)]]*COS(RADIANS(Targets_DW[[#This Row],[TWA (deg)]]+Targets_DW[[#This Row],[LEEWAY (deg)]])))</f>
        <v>#ERROR!</v>
      </c>
      <c r="Z24" s="7" t="str">
        <f>DEGREES(ASIN(Targets_DW[[#This Row],[TWS (km/h)]]*SIN(RADIANS(Targets_DW[[#This Row],[TWA (deg)]]+Targets_DW[[#This Row],[LEEWAY (deg)]]))/Targets_DW[[#This Row],[AWS]]))</f>
        <v>#ERROR!</v>
      </c>
      <c r="AA24" s="7" t="str">
        <f>Targets_DW[[#This Row],[AWA+Leeway]]-Targets_DW[[#This Row],[ROT (deg)]]</f>
        <v>#ERROR!</v>
      </c>
      <c r="AB24" s="7" t="str">
        <f>Targets_DW[[#This Row],[TWS (km/h)]]*(Targets_DW[[#This Row],[Wing]]/10)^0.1</f>
        <v>#ERROR!</v>
      </c>
      <c r="AC24" s="7" t="str">
        <f>SQRT(Targets_DW[[#This Row],[TWSTop]]^2+Targets_DW[[#This Row],[BSP (km/h)]]^2+2*Targets_DW[[#This Row],[BSP (km/h)]]*Targets_DW[[#This Row],[TWSTop]]*COS(RADIANS(Targets_DW[[#This Row],[TWA (deg)]]+Targets_DW[[#This Row],[LEEWAY (deg)]])))</f>
        <v>#ERROR!</v>
      </c>
      <c r="AD24" s="7" t="str">
        <f>DEGREES(ASIN(Targets_DW[[#This Row],[TWSTop]]*SIN(RADIANS(Targets_DW[[#This Row],[TWA (deg)]]+Targets_DW[[#This Row],[LEEWAY (deg)]]))/Targets_DW[[#This Row],[AWSTop]]))</f>
        <v>#ERROR!</v>
      </c>
      <c r="AE24" s="7" t="str">
        <f>Targets_DW[[#This Row],[AWA+Leeway Top]]-Targets_DW[[#This Row],[ROT (deg)]]</f>
        <v>#ERROR!</v>
      </c>
      <c r="AF24" s="7" t="str">
        <f>Targets_DW[[#This Row],[CLEW (deg)]]+Targets_DW[[#This Row],[TWIST (deg)]]</f>
        <v>#ERROR!</v>
      </c>
      <c r="AG24" s="10" t="str">
        <f>Targets_DW[[#This Row],[AWA+Leeway Top]]-Targets_DW[[#This Row],[CA6]]</f>
        <v>#ERROR!</v>
      </c>
      <c r="AH24" s="7" t="str">
        <f>Targets_DW[[#This Row],[AWA+Leeway]]-Targets_DW[[#This Row],[JibLead (deg)]]</f>
        <v>#ERROR!</v>
      </c>
    </row>
    <row r="25" ht="14.25" customHeight="1">
      <c r="A25" s="8" t="s">
        <v>34</v>
      </c>
      <c r="B25" s="9" t="s">
        <v>35</v>
      </c>
      <c r="C25" s="9" t="s">
        <v>36</v>
      </c>
      <c r="D25" s="9">
        <v>18.0</v>
      </c>
      <c r="E25" s="9" t="str">
        <f t="shared" si="1"/>
        <v>Foiling_HSB2_HSRW2-18m</v>
      </c>
      <c r="F25" s="9">
        <v>40.0</v>
      </c>
      <c r="G25" s="7" t="str">
        <f>ABS(Targets_DW[[#This Row],[BSP (km/h)]]*COS(RADIANS(Targets_DW[[#This Row],[TWA (deg)]]+Targets_DW[[#This Row],[LEEWAY (deg)]])))</f>
        <v>#ERROR!</v>
      </c>
      <c r="H25" s="7">
        <v>84.5</v>
      </c>
      <c r="I25" s="7">
        <v>146.0</v>
      </c>
      <c r="J25" s="7">
        <v>0.75</v>
      </c>
      <c r="K25" s="7">
        <v>-10.0</v>
      </c>
      <c r="L25" s="7">
        <v>-0.2</v>
      </c>
      <c r="M25" s="7" t="str">
        <f>Targets_DW[[#This Row],[CANT (deg)]]-Targets_DW[[#This Row],[HEEL (deg)]]</f>
        <v>#ERROR!</v>
      </c>
      <c r="N25" s="7">
        <v>1200.0</v>
      </c>
      <c r="O25" s="7">
        <v>0.0</v>
      </c>
      <c r="P25" s="7">
        <v>1.5</v>
      </c>
      <c r="Q25" s="7">
        <v>-1.5</v>
      </c>
      <c r="R25" s="7">
        <v>-19.5</v>
      </c>
      <c r="S25" s="7" t="str">
        <f>Targets_DW[[#This Row],[CLEW (deg)]]-0.5*Targets_DW[[#This Row],[CA1 (deg)]]</f>
        <v>#ERROR!</v>
      </c>
      <c r="T25" s="7">
        <v>3.0</v>
      </c>
      <c r="U25" s="7">
        <v>9.2</v>
      </c>
      <c r="V25" s="7">
        <v>1300.0</v>
      </c>
      <c r="W25" s="7">
        <v>9.0</v>
      </c>
      <c r="X25" s="7">
        <v>850.0</v>
      </c>
      <c r="Y25" s="7" t="str">
        <f>SQRT(Targets_DW[[#This Row],[TWS (km/h)]]^2+Targets_DW[[#This Row],[BSP (km/h)]]^2+2*Targets_DW[[#This Row],[TWS (km/h)]]*Targets_DW[[#This Row],[BSP (km/h)]]*COS(RADIANS(Targets_DW[[#This Row],[TWA (deg)]]+Targets_DW[[#This Row],[LEEWAY (deg)]])))</f>
        <v>#ERROR!</v>
      </c>
      <c r="Z25" s="7" t="str">
        <f>DEGREES(ASIN(Targets_DW[[#This Row],[TWS (km/h)]]*SIN(RADIANS(Targets_DW[[#This Row],[TWA (deg)]]+Targets_DW[[#This Row],[LEEWAY (deg)]]))/Targets_DW[[#This Row],[AWS]]))</f>
        <v>#ERROR!</v>
      </c>
      <c r="AA25" s="7" t="str">
        <f>Targets_DW[[#This Row],[AWA+Leeway]]-Targets_DW[[#This Row],[ROT (deg)]]</f>
        <v>#ERROR!</v>
      </c>
      <c r="AB25" s="7" t="str">
        <f>Targets_DW[[#This Row],[TWS (km/h)]]*(Targets_DW[[#This Row],[Wing]]/10)^0.1</f>
        <v>#ERROR!</v>
      </c>
      <c r="AC25" s="7" t="str">
        <f>SQRT(Targets_DW[[#This Row],[TWSTop]]^2+Targets_DW[[#This Row],[BSP (km/h)]]^2+2*Targets_DW[[#This Row],[BSP (km/h)]]*Targets_DW[[#This Row],[TWSTop]]*COS(RADIANS(Targets_DW[[#This Row],[TWA (deg)]]+Targets_DW[[#This Row],[LEEWAY (deg)]])))</f>
        <v>#ERROR!</v>
      </c>
      <c r="AD25" s="7" t="str">
        <f>DEGREES(ASIN(Targets_DW[[#This Row],[TWSTop]]*SIN(RADIANS(Targets_DW[[#This Row],[TWA (deg)]]+Targets_DW[[#This Row],[LEEWAY (deg)]]))/Targets_DW[[#This Row],[AWSTop]]))</f>
        <v>#ERROR!</v>
      </c>
      <c r="AE25" s="7" t="str">
        <f>Targets_DW[[#This Row],[AWA+Leeway Top]]-Targets_DW[[#This Row],[ROT (deg)]]</f>
        <v>#ERROR!</v>
      </c>
      <c r="AF25" s="7" t="str">
        <f>Targets_DW[[#This Row],[CLEW (deg)]]+Targets_DW[[#This Row],[TWIST (deg)]]</f>
        <v>#ERROR!</v>
      </c>
      <c r="AG25" s="10" t="str">
        <f>Targets_DW[[#This Row],[AWA+Leeway Top]]-Targets_DW[[#This Row],[CA6]]</f>
        <v>#ERROR!</v>
      </c>
      <c r="AH25" s="7" t="str">
        <f>Targets_DW[[#This Row],[AWA+Leeway]]-Targets_DW[[#This Row],[JibLead (deg)]]</f>
        <v>#ERROR!</v>
      </c>
    </row>
    <row r="26" ht="14.25" customHeight="1">
      <c r="A26" s="8" t="s">
        <v>34</v>
      </c>
      <c r="B26" s="9" t="s">
        <v>35</v>
      </c>
      <c r="C26" s="9" t="s">
        <v>36</v>
      </c>
      <c r="D26" s="9">
        <v>18.0</v>
      </c>
      <c r="E26" s="9" t="str">
        <f t="shared" si="1"/>
        <v>Foiling_HSB2_HSRW2-18m</v>
      </c>
      <c r="F26" s="9">
        <v>42.0</v>
      </c>
      <c r="G26" s="7" t="str">
        <f>ABS(Targets_DW[[#This Row],[BSP (km/h)]]*COS(RADIANS(Targets_DW[[#This Row],[TWA (deg)]]+Targets_DW[[#This Row],[LEEWAY (deg)]])))</f>
        <v>#ERROR!</v>
      </c>
      <c r="H26" s="7">
        <v>85.0</v>
      </c>
      <c r="I26" s="7">
        <v>147.0</v>
      </c>
      <c r="J26" s="7">
        <v>0.75</v>
      </c>
      <c r="K26" s="7">
        <v>-10.0</v>
      </c>
      <c r="L26" s="7">
        <v>-0.3</v>
      </c>
      <c r="M26" s="7" t="str">
        <f>Targets_DW[[#This Row],[CANT (deg)]]-Targets_DW[[#This Row],[HEEL (deg)]]</f>
        <v>#ERROR!</v>
      </c>
      <c r="N26" s="7">
        <v>1200.0</v>
      </c>
      <c r="O26" s="7">
        <v>0.0</v>
      </c>
      <c r="P26" s="7">
        <v>1.5</v>
      </c>
      <c r="Q26" s="7">
        <v>-1.5</v>
      </c>
      <c r="R26" s="7">
        <v>-19.0</v>
      </c>
      <c r="S26" s="7" t="str">
        <f>Targets_DW[[#This Row],[CLEW (deg)]]-0.5*Targets_DW[[#This Row],[CA1 (deg)]]</f>
        <v>#ERROR!</v>
      </c>
      <c r="T26" s="7">
        <v>3.5</v>
      </c>
      <c r="U26" s="7">
        <v>10.2</v>
      </c>
      <c r="V26" s="7">
        <v>1250.0</v>
      </c>
      <c r="W26" s="7">
        <v>9.0</v>
      </c>
      <c r="X26" s="7">
        <v>800.0</v>
      </c>
      <c r="Y26" s="7" t="str">
        <f>SQRT(Targets_DW[[#This Row],[TWS (km/h)]]^2+Targets_DW[[#This Row],[BSP (km/h)]]^2+2*Targets_DW[[#This Row],[TWS (km/h)]]*Targets_DW[[#This Row],[BSP (km/h)]]*COS(RADIANS(Targets_DW[[#This Row],[TWA (deg)]]+Targets_DW[[#This Row],[LEEWAY (deg)]])))</f>
        <v>#ERROR!</v>
      </c>
      <c r="Z26" s="7" t="str">
        <f>DEGREES(ASIN(Targets_DW[[#This Row],[TWS (km/h)]]*SIN(RADIANS(Targets_DW[[#This Row],[TWA (deg)]]+Targets_DW[[#This Row],[LEEWAY (deg)]]))/Targets_DW[[#This Row],[AWS]]))</f>
        <v>#ERROR!</v>
      </c>
      <c r="AA26" s="7" t="str">
        <f>Targets_DW[[#This Row],[AWA+Leeway]]-Targets_DW[[#This Row],[ROT (deg)]]</f>
        <v>#ERROR!</v>
      </c>
      <c r="AB26" s="7" t="str">
        <f>Targets_DW[[#This Row],[TWS (km/h)]]*(Targets_DW[[#This Row],[Wing]]/10)^0.1</f>
        <v>#ERROR!</v>
      </c>
      <c r="AC26" s="7" t="str">
        <f>SQRT(Targets_DW[[#This Row],[TWSTop]]^2+Targets_DW[[#This Row],[BSP (km/h)]]^2+2*Targets_DW[[#This Row],[BSP (km/h)]]*Targets_DW[[#This Row],[TWSTop]]*COS(RADIANS(Targets_DW[[#This Row],[TWA (deg)]]+Targets_DW[[#This Row],[LEEWAY (deg)]])))</f>
        <v>#ERROR!</v>
      </c>
      <c r="AD26" s="7" t="str">
        <f>DEGREES(ASIN(Targets_DW[[#This Row],[TWSTop]]*SIN(RADIANS(Targets_DW[[#This Row],[TWA (deg)]]+Targets_DW[[#This Row],[LEEWAY (deg)]]))/Targets_DW[[#This Row],[AWSTop]]))</f>
        <v>#ERROR!</v>
      </c>
      <c r="AE26" s="7" t="str">
        <f>Targets_DW[[#This Row],[AWA+Leeway Top]]-Targets_DW[[#This Row],[ROT (deg)]]</f>
        <v>#ERROR!</v>
      </c>
      <c r="AF26" s="7" t="str">
        <f>Targets_DW[[#This Row],[CLEW (deg)]]+Targets_DW[[#This Row],[TWIST (deg)]]</f>
        <v>#ERROR!</v>
      </c>
      <c r="AG26" s="10" t="str">
        <f>Targets_DW[[#This Row],[AWA+Leeway Top]]-Targets_DW[[#This Row],[CA6]]</f>
        <v>#ERROR!</v>
      </c>
      <c r="AH26" s="7" t="str">
        <f>Targets_DW[[#This Row],[AWA+Leeway]]-Targets_DW[[#This Row],[JibLead (deg)]]</f>
        <v>#ERROR!</v>
      </c>
    </row>
    <row r="27" ht="14.25" customHeight="1">
      <c r="A27" s="11" t="s">
        <v>34</v>
      </c>
      <c r="B27" s="12" t="s">
        <v>35</v>
      </c>
      <c r="C27" s="12" t="s">
        <v>36</v>
      </c>
      <c r="D27" s="12">
        <v>18.0</v>
      </c>
      <c r="E27" s="12" t="str">
        <f t="shared" si="1"/>
        <v>Foiling_HSB2_HSRW2-18m</v>
      </c>
      <c r="F27" s="12">
        <v>44.0</v>
      </c>
      <c r="G27" s="13" t="str">
        <f>ABS(Targets_DW[[#This Row],[BSP (km/h)]]*COS(RADIANS(Targets_DW[[#This Row],[TWA (deg)]]+Targets_DW[[#This Row],[LEEWAY (deg)]])))</f>
        <v>#ERROR!</v>
      </c>
      <c r="H27" s="13">
        <v>86.0</v>
      </c>
      <c r="I27" s="13">
        <v>148.0</v>
      </c>
      <c r="J27" s="13">
        <v>0.75</v>
      </c>
      <c r="K27" s="13">
        <v>-10.0</v>
      </c>
      <c r="L27" s="13">
        <v>-0.3</v>
      </c>
      <c r="M27" s="13" t="str">
        <f>Targets_DW[[#This Row],[CANT (deg)]]-Targets_DW[[#This Row],[HEEL (deg)]]</f>
        <v>#ERROR!</v>
      </c>
      <c r="N27" s="13">
        <v>1200.0</v>
      </c>
      <c r="O27" s="13">
        <v>0.0</v>
      </c>
      <c r="P27" s="13">
        <v>1.5</v>
      </c>
      <c r="Q27" s="13">
        <v>-1.5</v>
      </c>
      <c r="R27" s="13">
        <v>-19.0</v>
      </c>
      <c r="S27" s="13" t="str">
        <f>Targets_DW[[#This Row],[CLEW (deg)]]-0.5*Targets_DW[[#This Row],[CA1 (deg)]]</f>
        <v>#ERROR!</v>
      </c>
      <c r="T27" s="13">
        <v>4.0</v>
      </c>
      <c r="U27" s="13">
        <v>11.6</v>
      </c>
      <c r="V27" s="13">
        <v>1200.0</v>
      </c>
      <c r="W27" s="13">
        <v>9.0</v>
      </c>
      <c r="X27" s="13">
        <v>750.0</v>
      </c>
      <c r="Y27" s="13" t="str">
        <f>SQRT(Targets_DW[[#This Row],[TWS (km/h)]]^2+Targets_DW[[#This Row],[BSP (km/h)]]^2+2*Targets_DW[[#This Row],[TWS (km/h)]]*Targets_DW[[#This Row],[BSP (km/h)]]*COS(RADIANS(Targets_DW[[#This Row],[TWA (deg)]]+Targets_DW[[#This Row],[LEEWAY (deg)]])))</f>
        <v>#ERROR!</v>
      </c>
      <c r="Z27" s="13" t="str">
        <f>DEGREES(ASIN(Targets_DW[[#This Row],[TWS (km/h)]]*SIN(RADIANS(Targets_DW[[#This Row],[TWA (deg)]]+Targets_DW[[#This Row],[LEEWAY (deg)]]))/Targets_DW[[#This Row],[AWS]]))</f>
        <v>#ERROR!</v>
      </c>
      <c r="AA27" s="13" t="str">
        <f>Targets_DW[[#This Row],[AWA+Leeway]]-Targets_DW[[#This Row],[ROT (deg)]]</f>
        <v>#ERROR!</v>
      </c>
      <c r="AB27" s="13" t="str">
        <f>Targets_DW[[#This Row],[TWS (km/h)]]*(Targets_DW[[#This Row],[Wing]]/10)^0.1</f>
        <v>#ERROR!</v>
      </c>
      <c r="AC27" s="13" t="str">
        <f>SQRT(Targets_DW[[#This Row],[TWSTop]]^2+Targets_DW[[#This Row],[BSP (km/h)]]^2+2*Targets_DW[[#This Row],[BSP (km/h)]]*Targets_DW[[#This Row],[TWSTop]]*COS(RADIANS(Targets_DW[[#This Row],[TWA (deg)]]+Targets_DW[[#This Row],[LEEWAY (deg)]])))</f>
        <v>#ERROR!</v>
      </c>
      <c r="AD27" s="13" t="str">
        <f>DEGREES(ASIN(Targets_DW[[#This Row],[TWSTop]]*SIN(RADIANS(Targets_DW[[#This Row],[TWA (deg)]]+Targets_DW[[#This Row],[LEEWAY (deg)]]))/Targets_DW[[#This Row],[AWSTop]]))</f>
        <v>#ERROR!</v>
      </c>
      <c r="AE27" s="13" t="str">
        <f>Targets_DW[[#This Row],[AWA+Leeway Top]]-Targets_DW[[#This Row],[ROT (deg)]]</f>
        <v>#ERROR!</v>
      </c>
      <c r="AF27" s="13" t="str">
        <f>Targets_DW[[#This Row],[CLEW (deg)]]+Targets_DW[[#This Row],[TWIST (deg)]]</f>
        <v>#ERROR!</v>
      </c>
      <c r="AG27" s="14" t="str">
        <f>Targets_DW[[#This Row],[AWA+Leeway Top]]-Targets_DW[[#This Row],[CA6]]</f>
        <v>#ERROR!</v>
      </c>
      <c r="AH27" s="7" t="str">
        <f>Targets_DW[[#This Row],[AWA+Leeway]]-Targets_DW[[#This Row],[JibLead (deg)]]</f>
        <v>#ERROR!</v>
      </c>
    </row>
    <row r="28" ht="14.25" customHeight="1">
      <c r="A28" s="3" t="s">
        <v>34</v>
      </c>
      <c r="B28" s="4" t="s">
        <v>35</v>
      </c>
      <c r="C28" s="4" t="s">
        <v>37</v>
      </c>
      <c r="D28" s="4">
        <v>24.0</v>
      </c>
      <c r="E28" s="4" t="str">
        <f t="shared" si="1"/>
        <v>Foiling_HSB2_LARW2-24m</v>
      </c>
      <c r="F28" s="4">
        <v>14.0</v>
      </c>
      <c r="G28" s="5" t="str">
        <f>ABS(Targets_DW[[#This Row],[BSP (km/h)]]*COS(RADIANS(Targets_DW[[#This Row],[TWA (deg)]]+Targets_DW[[#This Row],[LEEWAY (deg)]])))</f>
        <v>#ERROR!</v>
      </c>
      <c r="H28" s="5">
        <v>48.4</v>
      </c>
      <c r="I28" s="5">
        <v>125.0</v>
      </c>
      <c r="J28" s="5">
        <v>1.6</v>
      </c>
      <c r="K28" s="5">
        <v>2.5999999999999996</v>
      </c>
      <c r="L28" s="5">
        <v>1.0</v>
      </c>
      <c r="M28" s="5" t="str">
        <f>Targets_DW[[#This Row],[CANT (deg)]]-Targets_DW[[#This Row],[HEEL (deg)]]</f>
        <v>#ERROR!</v>
      </c>
      <c r="N28" s="5">
        <v>1200.0</v>
      </c>
      <c r="O28" s="5">
        <v>0.8</v>
      </c>
      <c r="P28" s="5">
        <v>2.75</v>
      </c>
      <c r="Q28" s="5">
        <v>-3.0</v>
      </c>
      <c r="R28" s="5">
        <v>-26.0</v>
      </c>
      <c r="S28" s="5" t="str">
        <f>Targets_DW[[#This Row],[CLEW (deg)]]-0.5*Targets_DW[[#This Row],[CA1 (deg)]]</f>
        <v>#ERROR!</v>
      </c>
      <c r="T28" s="5">
        <v>-0.3</v>
      </c>
      <c r="U28" s="5">
        <v>13.0</v>
      </c>
      <c r="V28" s="5">
        <v>375.0</v>
      </c>
      <c r="W28" s="5">
        <v>6.5</v>
      </c>
      <c r="X28" s="5"/>
      <c r="Y28" s="5" t="str">
        <f>SQRT(Targets_DW[[#This Row],[TWS (km/h)]]^2+Targets_DW[[#This Row],[BSP (km/h)]]^2+2*Targets_DW[[#This Row],[TWS (km/h)]]*Targets_DW[[#This Row],[BSP (km/h)]]*COS(RADIANS(Targets_DW[[#This Row],[TWA (deg)]]+Targets_DW[[#This Row],[LEEWAY (deg)]])))</f>
        <v>#ERROR!</v>
      </c>
      <c r="Z28" s="5" t="str">
        <f>DEGREES(ASIN(Targets_DW[[#This Row],[TWS (km/h)]]*SIN(RADIANS(Targets_DW[[#This Row],[TWA (deg)]]+Targets_DW[[#This Row],[LEEWAY (deg)]]))/Targets_DW[[#This Row],[AWS]]))</f>
        <v>#ERROR!</v>
      </c>
      <c r="AA28" s="5" t="str">
        <f>Targets_DW[[#This Row],[AWA+Leeway]]-Targets_DW[[#This Row],[ROT (deg)]]</f>
        <v>#ERROR!</v>
      </c>
      <c r="AB28" s="5" t="str">
        <f>Targets_DW[[#This Row],[TWS (km/h)]]*(Targets_DW[[#This Row],[Wing]]/10)^0.1</f>
        <v>#ERROR!</v>
      </c>
      <c r="AC28" s="5" t="str">
        <f>SQRT(Targets_DW[[#This Row],[TWSTop]]^2+Targets_DW[[#This Row],[BSP (km/h)]]^2+2*Targets_DW[[#This Row],[BSP (km/h)]]*Targets_DW[[#This Row],[TWSTop]]*COS(RADIANS(Targets_DW[[#This Row],[TWA (deg)]]+Targets_DW[[#This Row],[LEEWAY (deg)]])))</f>
        <v>#ERROR!</v>
      </c>
      <c r="AD28" s="5" t="str">
        <f>DEGREES(ASIN(Targets_DW[[#This Row],[TWSTop]]*SIN(RADIANS(Targets_DW[[#This Row],[TWA (deg)]]+Targets_DW[[#This Row],[LEEWAY (deg)]]))/Targets_DW[[#This Row],[AWSTop]]))</f>
        <v>#ERROR!</v>
      </c>
      <c r="AE28" s="5" t="str">
        <f>Targets_DW[[#This Row],[AWA+Leeway Top]]-Targets_DW[[#This Row],[ROT (deg)]]</f>
        <v>#ERROR!</v>
      </c>
      <c r="AF28" s="5" t="str">
        <f>Targets_DW[[#This Row],[CLEW (deg)]]+Targets_DW[[#This Row],[TWIST (deg)]]</f>
        <v>#ERROR!</v>
      </c>
      <c r="AG28" s="6" t="str">
        <f>Targets_DW[[#This Row],[AWA+Leeway Top]]-Targets_DW[[#This Row],[CA6]]</f>
        <v>#ERROR!</v>
      </c>
      <c r="AH28" s="7" t="str">
        <f>Targets_DW[[#This Row],[AWA+Leeway]]-Targets_DW[[#This Row],[JibLead (deg)]]</f>
        <v>#ERROR!</v>
      </c>
    </row>
    <row r="29" ht="14.25" customHeight="1">
      <c r="A29" s="8" t="s">
        <v>34</v>
      </c>
      <c r="B29" s="9" t="s">
        <v>35</v>
      </c>
      <c r="C29" s="9" t="s">
        <v>37</v>
      </c>
      <c r="D29" s="9">
        <v>24.0</v>
      </c>
      <c r="E29" s="9" t="str">
        <f t="shared" si="1"/>
        <v>Foiling_HSB2_LARW2-24m</v>
      </c>
      <c r="F29" s="9">
        <v>16.0</v>
      </c>
      <c r="G29" s="7" t="str">
        <f>ABS(Targets_DW[[#This Row],[BSP (km/h)]]*COS(RADIANS(Targets_DW[[#This Row],[TWA (deg)]]+Targets_DW[[#This Row],[LEEWAY (deg)]])))</f>
        <v>#ERROR!</v>
      </c>
      <c r="H29" s="7">
        <v>51.0</v>
      </c>
      <c r="I29" s="7">
        <v>127.5</v>
      </c>
      <c r="J29" s="7">
        <v>0.9</v>
      </c>
      <c r="K29" s="7">
        <v>1.7000000000000002</v>
      </c>
      <c r="L29" s="7">
        <v>1.0</v>
      </c>
      <c r="M29" s="7" t="str">
        <f>Targets_DW[[#This Row],[CANT (deg)]]-Targets_DW[[#This Row],[HEEL (deg)]]</f>
        <v>#ERROR!</v>
      </c>
      <c r="N29" s="7">
        <v>1200.0</v>
      </c>
      <c r="O29" s="7">
        <v>0.6</v>
      </c>
      <c r="P29" s="7">
        <v>2.7</v>
      </c>
      <c r="Q29" s="7">
        <v>-3.0</v>
      </c>
      <c r="R29" s="7">
        <v>-25.0</v>
      </c>
      <c r="S29" s="7" t="str">
        <f>Targets_DW[[#This Row],[CLEW (deg)]]-0.5*Targets_DW[[#This Row],[CA1 (deg)]]</f>
        <v>#ERROR!</v>
      </c>
      <c r="T29" s="7">
        <v>0.3</v>
      </c>
      <c r="U29" s="7">
        <v>13.5</v>
      </c>
      <c r="V29" s="7">
        <v>410.0</v>
      </c>
      <c r="W29" s="7">
        <v>7.2</v>
      </c>
      <c r="X29" s="7"/>
      <c r="Y29" s="7" t="str">
        <f>SQRT(Targets_DW[[#This Row],[TWS (km/h)]]^2+Targets_DW[[#This Row],[BSP (km/h)]]^2+2*Targets_DW[[#This Row],[TWS (km/h)]]*Targets_DW[[#This Row],[BSP (km/h)]]*COS(RADIANS(Targets_DW[[#This Row],[TWA (deg)]]+Targets_DW[[#This Row],[LEEWAY (deg)]])))</f>
        <v>#ERROR!</v>
      </c>
      <c r="Z29" s="7" t="str">
        <f>DEGREES(ASIN(Targets_DW[[#This Row],[TWS (km/h)]]*SIN(RADIANS(Targets_DW[[#This Row],[TWA (deg)]]+Targets_DW[[#This Row],[LEEWAY (deg)]]))/Targets_DW[[#This Row],[AWS]]))</f>
        <v>#ERROR!</v>
      </c>
      <c r="AA29" s="7" t="str">
        <f>Targets_DW[[#This Row],[AWA+Leeway]]-Targets_DW[[#This Row],[ROT (deg)]]</f>
        <v>#ERROR!</v>
      </c>
      <c r="AB29" s="7" t="str">
        <f>Targets_DW[[#This Row],[TWS (km/h)]]*(Targets_DW[[#This Row],[Wing]]/10)^0.1</f>
        <v>#ERROR!</v>
      </c>
      <c r="AC29" s="7" t="str">
        <f>SQRT(Targets_DW[[#This Row],[TWSTop]]^2+Targets_DW[[#This Row],[BSP (km/h)]]^2+2*Targets_DW[[#This Row],[BSP (km/h)]]*Targets_DW[[#This Row],[TWSTop]]*COS(RADIANS(Targets_DW[[#This Row],[TWA (deg)]]+Targets_DW[[#This Row],[LEEWAY (deg)]])))</f>
        <v>#ERROR!</v>
      </c>
      <c r="AD29" s="7" t="str">
        <f>DEGREES(ASIN(Targets_DW[[#This Row],[TWSTop]]*SIN(RADIANS(Targets_DW[[#This Row],[TWA (deg)]]+Targets_DW[[#This Row],[LEEWAY (deg)]]))/Targets_DW[[#This Row],[AWSTop]]))</f>
        <v>#ERROR!</v>
      </c>
      <c r="AE29" s="7" t="str">
        <f>Targets_DW[[#This Row],[AWA+Leeway Top]]-Targets_DW[[#This Row],[ROT (deg)]]</f>
        <v>#ERROR!</v>
      </c>
      <c r="AF29" s="7" t="str">
        <f>Targets_DW[[#This Row],[CLEW (deg)]]+Targets_DW[[#This Row],[TWIST (deg)]]</f>
        <v>#ERROR!</v>
      </c>
      <c r="AG29" s="10" t="str">
        <f>Targets_DW[[#This Row],[AWA+Leeway Top]]-Targets_DW[[#This Row],[CA6]]</f>
        <v>#ERROR!</v>
      </c>
      <c r="AH29" s="7" t="str">
        <f>Targets_DW[[#This Row],[AWA+Leeway]]-Targets_DW[[#This Row],[JibLead (deg)]]</f>
        <v>#ERROR!</v>
      </c>
    </row>
    <row r="30" ht="14.25" customHeight="1">
      <c r="A30" s="8" t="s">
        <v>34</v>
      </c>
      <c r="B30" s="9" t="s">
        <v>35</v>
      </c>
      <c r="C30" s="9" t="s">
        <v>37</v>
      </c>
      <c r="D30" s="9">
        <v>24.0</v>
      </c>
      <c r="E30" s="9" t="str">
        <f t="shared" si="1"/>
        <v>Foiling_HSB2_LARW2-24m</v>
      </c>
      <c r="F30" s="9">
        <v>18.0</v>
      </c>
      <c r="G30" s="7" t="str">
        <f>ABS(Targets_DW[[#This Row],[BSP (km/h)]]*COS(RADIANS(Targets_DW[[#This Row],[TWA (deg)]]+Targets_DW[[#This Row],[LEEWAY (deg)]])))</f>
        <v>#ERROR!</v>
      </c>
      <c r="H30" s="7">
        <v>55.0</v>
      </c>
      <c r="I30" s="7">
        <v>132.0</v>
      </c>
      <c r="J30" s="7">
        <v>0.7</v>
      </c>
      <c r="K30" s="7">
        <v>0.5</v>
      </c>
      <c r="L30" s="7">
        <v>0.9</v>
      </c>
      <c r="M30" s="7" t="str">
        <f>Targets_DW[[#This Row],[CANT (deg)]]-Targets_DW[[#This Row],[HEEL (deg)]]</f>
        <v>#ERROR!</v>
      </c>
      <c r="N30" s="7">
        <v>1200.0</v>
      </c>
      <c r="O30" s="7">
        <v>0.1</v>
      </c>
      <c r="P30" s="7">
        <v>2.55</v>
      </c>
      <c r="Q30" s="7">
        <v>-3.0</v>
      </c>
      <c r="R30" s="7">
        <v>-24.0</v>
      </c>
      <c r="S30" s="7" t="str">
        <f>Targets_DW[[#This Row],[CLEW (deg)]]-0.5*Targets_DW[[#This Row],[CA1 (deg)]]</f>
        <v>#ERROR!</v>
      </c>
      <c r="T30" s="7">
        <v>0.9</v>
      </c>
      <c r="U30" s="7">
        <v>13.5</v>
      </c>
      <c r="V30" s="7">
        <v>470.0</v>
      </c>
      <c r="W30" s="7">
        <v>7.5</v>
      </c>
      <c r="X30" s="7"/>
      <c r="Y30" s="7" t="str">
        <f>SQRT(Targets_DW[[#This Row],[TWS (km/h)]]^2+Targets_DW[[#This Row],[BSP (km/h)]]^2+2*Targets_DW[[#This Row],[TWS (km/h)]]*Targets_DW[[#This Row],[BSP (km/h)]]*COS(RADIANS(Targets_DW[[#This Row],[TWA (deg)]]+Targets_DW[[#This Row],[LEEWAY (deg)]])))</f>
        <v>#ERROR!</v>
      </c>
      <c r="Z30" s="7" t="str">
        <f>DEGREES(ASIN(Targets_DW[[#This Row],[TWS (km/h)]]*SIN(RADIANS(Targets_DW[[#This Row],[TWA (deg)]]+Targets_DW[[#This Row],[LEEWAY (deg)]]))/Targets_DW[[#This Row],[AWS]]))</f>
        <v>#ERROR!</v>
      </c>
      <c r="AA30" s="7" t="str">
        <f>Targets_DW[[#This Row],[AWA+Leeway]]-Targets_DW[[#This Row],[ROT (deg)]]</f>
        <v>#ERROR!</v>
      </c>
      <c r="AB30" s="7" t="str">
        <f>Targets_DW[[#This Row],[TWS (km/h)]]*(Targets_DW[[#This Row],[Wing]]/10)^0.1</f>
        <v>#ERROR!</v>
      </c>
      <c r="AC30" s="7" t="str">
        <f>SQRT(Targets_DW[[#This Row],[TWSTop]]^2+Targets_DW[[#This Row],[BSP (km/h)]]^2+2*Targets_DW[[#This Row],[BSP (km/h)]]*Targets_DW[[#This Row],[TWSTop]]*COS(RADIANS(Targets_DW[[#This Row],[TWA (deg)]]+Targets_DW[[#This Row],[LEEWAY (deg)]])))</f>
        <v>#ERROR!</v>
      </c>
      <c r="AD30" s="7" t="str">
        <f>DEGREES(ASIN(Targets_DW[[#This Row],[TWSTop]]*SIN(RADIANS(Targets_DW[[#This Row],[TWA (deg)]]+Targets_DW[[#This Row],[LEEWAY (deg)]]))/Targets_DW[[#This Row],[AWSTop]]))</f>
        <v>#ERROR!</v>
      </c>
      <c r="AE30" s="7" t="str">
        <f>Targets_DW[[#This Row],[AWA+Leeway Top]]-Targets_DW[[#This Row],[ROT (deg)]]</f>
        <v>#ERROR!</v>
      </c>
      <c r="AF30" s="7" t="str">
        <f>Targets_DW[[#This Row],[CLEW (deg)]]+Targets_DW[[#This Row],[TWIST (deg)]]</f>
        <v>#ERROR!</v>
      </c>
      <c r="AG30" s="10" t="str">
        <f>Targets_DW[[#This Row],[AWA+Leeway Top]]-Targets_DW[[#This Row],[CA6]]</f>
        <v>#ERROR!</v>
      </c>
      <c r="AH30" s="7" t="str">
        <f>Targets_DW[[#This Row],[AWA+Leeway]]-Targets_DW[[#This Row],[JibLead (deg)]]</f>
        <v>#ERROR!</v>
      </c>
    </row>
    <row r="31" ht="14.25" customHeight="1">
      <c r="A31" s="8" t="s">
        <v>34</v>
      </c>
      <c r="B31" s="9" t="s">
        <v>35</v>
      </c>
      <c r="C31" s="9" t="s">
        <v>37</v>
      </c>
      <c r="D31" s="9">
        <v>24.0</v>
      </c>
      <c r="E31" s="9" t="str">
        <f t="shared" si="1"/>
        <v>Foiling_HSB2_LARW2-24m</v>
      </c>
      <c r="F31" s="9">
        <v>20.0</v>
      </c>
      <c r="G31" s="7" t="str">
        <f>ABS(Targets_DW[[#This Row],[BSP (km/h)]]*COS(RADIANS(Targets_DW[[#This Row],[TWA (deg)]]+Targets_DW[[#This Row],[LEEWAY (deg)]])))</f>
        <v>#ERROR!</v>
      </c>
      <c r="H31" s="7">
        <v>60.0</v>
      </c>
      <c r="I31" s="7">
        <v>137.0</v>
      </c>
      <c r="J31" s="7">
        <v>0.7</v>
      </c>
      <c r="K31" s="7">
        <v>-1.0</v>
      </c>
      <c r="L31" s="7">
        <v>0.75</v>
      </c>
      <c r="M31" s="7" t="str">
        <f>Targets_DW[[#This Row],[CANT (deg)]]-Targets_DW[[#This Row],[HEEL (deg)]]</f>
        <v>#ERROR!</v>
      </c>
      <c r="N31" s="7">
        <v>1206.39153999999</v>
      </c>
      <c r="O31" s="7">
        <v>0.0</v>
      </c>
      <c r="P31" s="7">
        <v>2.4</v>
      </c>
      <c r="Q31" s="7">
        <v>-3.0</v>
      </c>
      <c r="R31" s="7">
        <v>-23.4</v>
      </c>
      <c r="S31" s="7" t="str">
        <f>Targets_DW[[#This Row],[CLEW (deg)]]-0.5*Targets_DW[[#This Row],[CA1 (deg)]]</f>
        <v>#ERROR!</v>
      </c>
      <c r="T31" s="7">
        <v>1.0</v>
      </c>
      <c r="U31" s="7">
        <v>13.3</v>
      </c>
      <c r="V31" s="7">
        <v>550.0</v>
      </c>
      <c r="W31" s="7">
        <v>7.5</v>
      </c>
      <c r="X31" s="7"/>
      <c r="Y31" s="7" t="str">
        <f>SQRT(Targets_DW[[#This Row],[TWS (km/h)]]^2+Targets_DW[[#This Row],[BSP (km/h)]]^2+2*Targets_DW[[#This Row],[TWS (km/h)]]*Targets_DW[[#This Row],[BSP (km/h)]]*COS(RADIANS(Targets_DW[[#This Row],[TWA (deg)]]+Targets_DW[[#This Row],[LEEWAY (deg)]])))</f>
        <v>#ERROR!</v>
      </c>
      <c r="Z31" s="7" t="str">
        <f>DEGREES(ASIN(Targets_DW[[#This Row],[TWS (km/h)]]*SIN(RADIANS(Targets_DW[[#This Row],[TWA (deg)]]+Targets_DW[[#This Row],[LEEWAY (deg)]]))/Targets_DW[[#This Row],[AWS]]))</f>
        <v>#ERROR!</v>
      </c>
      <c r="AA31" s="7" t="str">
        <f>Targets_DW[[#This Row],[AWA+Leeway]]-Targets_DW[[#This Row],[ROT (deg)]]</f>
        <v>#ERROR!</v>
      </c>
      <c r="AB31" s="7" t="str">
        <f>Targets_DW[[#This Row],[TWS (km/h)]]*(Targets_DW[[#This Row],[Wing]]/10)^0.1</f>
        <v>#ERROR!</v>
      </c>
      <c r="AC31" s="7" t="str">
        <f>SQRT(Targets_DW[[#This Row],[TWSTop]]^2+Targets_DW[[#This Row],[BSP (km/h)]]^2+2*Targets_DW[[#This Row],[BSP (km/h)]]*Targets_DW[[#This Row],[TWSTop]]*COS(RADIANS(Targets_DW[[#This Row],[TWA (deg)]]+Targets_DW[[#This Row],[LEEWAY (deg)]])))</f>
        <v>#ERROR!</v>
      </c>
      <c r="AD31" s="7" t="str">
        <f>DEGREES(ASIN(Targets_DW[[#This Row],[TWSTop]]*SIN(RADIANS(Targets_DW[[#This Row],[TWA (deg)]]+Targets_DW[[#This Row],[LEEWAY (deg)]]))/Targets_DW[[#This Row],[AWSTop]]))</f>
        <v>#ERROR!</v>
      </c>
      <c r="AE31" s="7" t="str">
        <f>Targets_DW[[#This Row],[AWA+Leeway Top]]-Targets_DW[[#This Row],[ROT (deg)]]</f>
        <v>#ERROR!</v>
      </c>
      <c r="AF31" s="7" t="str">
        <f>Targets_DW[[#This Row],[CLEW (deg)]]+Targets_DW[[#This Row],[TWIST (deg)]]</f>
        <v>#ERROR!</v>
      </c>
      <c r="AG31" s="10" t="str">
        <f>Targets_DW[[#This Row],[AWA+Leeway Top]]-Targets_DW[[#This Row],[CA6]]</f>
        <v>#ERROR!</v>
      </c>
      <c r="AH31" s="7" t="str">
        <f>Targets_DW[[#This Row],[AWA+Leeway]]-Targets_DW[[#This Row],[JibLead (deg)]]</f>
        <v>#ERROR!</v>
      </c>
    </row>
    <row r="32" ht="14.25" customHeight="1">
      <c r="A32" s="11" t="s">
        <v>34</v>
      </c>
      <c r="B32" s="12" t="s">
        <v>35</v>
      </c>
      <c r="C32" s="12" t="s">
        <v>37</v>
      </c>
      <c r="D32" s="12">
        <v>24.0</v>
      </c>
      <c r="E32" s="12" t="str">
        <f t="shared" si="1"/>
        <v>Foiling_HSB2_LARW2-24m</v>
      </c>
      <c r="F32" s="12">
        <v>22.0</v>
      </c>
      <c r="G32" s="13" t="str">
        <f>ABS(Targets_DW[[#This Row],[BSP (km/h)]]*COS(RADIANS(Targets_DW[[#This Row],[TWA (deg)]]+Targets_DW[[#This Row],[LEEWAY (deg)]])))</f>
        <v>#ERROR!</v>
      </c>
      <c r="H32" s="13">
        <v>63.5</v>
      </c>
      <c r="I32" s="13">
        <v>141.0</v>
      </c>
      <c r="J32" s="13">
        <v>0.7</v>
      </c>
      <c r="K32" s="13">
        <v>-2.0</v>
      </c>
      <c r="L32" s="13">
        <v>0.6</v>
      </c>
      <c r="M32" s="13" t="str">
        <f>Targets_DW[[#This Row],[CANT (deg)]]-Targets_DW[[#This Row],[HEEL (deg)]]</f>
        <v>#ERROR!</v>
      </c>
      <c r="N32" s="13">
        <v>1220.08931839999</v>
      </c>
      <c r="O32" s="13">
        <v>0.0</v>
      </c>
      <c r="P32" s="13">
        <v>2.3</v>
      </c>
      <c r="Q32" s="13">
        <v>-3.0</v>
      </c>
      <c r="R32" s="13">
        <v>-22.8</v>
      </c>
      <c r="S32" s="13" t="str">
        <f>Targets_DW[[#This Row],[CLEW (deg)]]-0.5*Targets_DW[[#This Row],[CA1 (deg)]]</f>
        <v>#ERROR!</v>
      </c>
      <c r="T32" s="13">
        <v>0.5</v>
      </c>
      <c r="U32" s="13">
        <v>13.0</v>
      </c>
      <c r="V32" s="13">
        <v>580.0</v>
      </c>
      <c r="W32" s="13">
        <v>7.5</v>
      </c>
      <c r="X32" s="13"/>
      <c r="Y32" s="13" t="str">
        <f>SQRT(Targets_DW[[#This Row],[TWS (km/h)]]^2+Targets_DW[[#This Row],[BSP (km/h)]]^2+2*Targets_DW[[#This Row],[TWS (km/h)]]*Targets_DW[[#This Row],[BSP (km/h)]]*COS(RADIANS(Targets_DW[[#This Row],[TWA (deg)]]+Targets_DW[[#This Row],[LEEWAY (deg)]])))</f>
        <v>#ERROR!</v>
      </c>
      <c r="Z32" s="13" t="str">
        <f>DEGREES(ASIN(Targets_DW[[#This Row],[TWS (km/h)]]*SIN(RADIANS(Targets_DW[[#This Row],[TWA (deg)]]+Targets_DW[[#This Row],[LEEWAY (deg)]]))/Targets_DW[[#This Row],[AWS]]))</f>
        <v>#ERROR!</v>
      </c>
      <c r="AA32" s="13" t="str">
        <f>Targets_DW[[#This Row],[AWA+Leeway]]-Targets_DW[[#This Row],[ROT (deg)]]</f>
        <v>#ERROR!</v>
      </c>
      <c r="AB32" s="13" t="str">
        <f>Targets_DW[[#This Row],[TWS (km/h)]]*(Targets_DW[[#This Row],[Wing]]/10)^0.1</f>
        <v>#ERROR!</v>
      </c>
      <c r="AC32" s="13" t="str">
        <f>SQRT(Targets_DW[[#This Row],[TWSTop]]^2+Targets_DW[[#This Row],[BSP (km/h)]]^2+2*Targets_DW[[#This Row],[BSP (km/h)]]*Targets_DW[[#This Row],[TWSTop]]*COS(RADIANS(Targets_DW[[#This Row],[TWA (deg)]]+Targets_DW[[#This Row],[LEEWAY (deg)]])))</f>
        <v>#ERROR!</v>
      </c>
      <c r="AD32" s="13" t="str">
        <f>DEGREES(ASIN(Targets_DW[[#This Row],[TWSTop]]*SIN(RADIANS(Targets_DW[[#This Row],[TWA (deg)]]+Targets_DW[[#This Row],[LEEWAY (deg)]]))/Targets_DW[[#This Row],[AWSTop]]))</f>
        <v>#ERROR!</v>
      </c>
      <c r="AE32" s="13" t="str">
        <f>Targets_DW[[#This Row],[AWA+Leeway Top]]-Targets_DW[[#This Row],[ROT (deg)]]</f>
        <v>#ERROR!</v>
      </c>
      <c r="AF32" s="13" t="str">
        <f>Targets_DW[[#This Row],[CLEW (deg)]]+Targets_DW[[#This Row],[TWIST (deg)]]</f>
        <v>#ERROR!</v>
      </c>
      <c r="AG32" s="14" t="str">
        <f>Targets_DW[[#This Row],[AWA+Leeway Top]]-Targets_DW[[#This Row],[CA6]]</f>
        <v>#ERROR!</v>
      </c>
      <c r="AH32" s="7" t="str">
        <f>Targets_DW[[#This Row],[AWA+Leeway]]-Targets_DW[[#This Row],[JibLead (deg)]]</f>
        <v>#ERROR!</v>
      </c>
    </row>
    <row r="33" ht="14.25" customHeight="1">
      <c r="A33" s="3" t="s">
        <v>34</v>
      </c>
      <c r="B33" s="4" t="s">
        <v>38</v>
      </c>
      <c r="C33" s="4" t="s">
        <v>36</v>
      </c>
      <c r="D33" s="4">
        <v>24.0</v>
      </c>
      <c r="E33" s="4" t="str">
        <f t="shared" si="1"/>
        <v>Foiling_LAB2_HSRW2-24m</v>
      </c>
      <c r="F33" s="4">
        <v>14.0</v>
      </c>
      <c r="G33" s="5" t="str">
        <f>ABS(Targets_DW[[#This Row],[BSP (km/h)]]*COS(RADIANS(Targets_DW[[#This Row],[TWA (deg)]]+Targets_DW[[#This Row],[LEEWAY (deg)]])))</f>
        <v>#ERROR!</v>
      </c>
      <c r="H33" s="5">
        <v>51.0</v>
      </c>
      <c r="I33" s="5">
        <v>130.0</v>
      </c>
      <c r="J33" s="5">
        <v>0.9</v>
      </c>
      <c r="K33" s="5">
        <v>4.0</v>
      </c>
      <c r="L33" s="5">
        <v>1.2</v>
      </c>
      <c r="M33" s="5" t="str">
        <f>Targets_DW[[#This Row],[CANT (deg)]]-Targets_DW[[#This Row],[HEEL (deg)]]</f>
        <v>#ERROR!</v>
      </c>
      <c r="N33" s="5">
        <v>1310.0</v>
      </c>
      <c r="O33" s="5">
        <v>1.29</v>
      </c>
      <c r="P33" s="5">
        <v>4.9</v>
      </c>
      <c r="Q33" s="5">
        <v>-3.0</v>
      </c>
      <c r="R33" s="5">
        <v>-25.0</v>
      </c>
      <c r="S33" s="5" t="str">
        <f>Targets_DW[[#This Row],[CLEW (deg)]]-0.5*Targets_DW[[#This Row],[CA1 (deg)]]</f>
        <v>#ERROR!</v>
      </c>
      <c r="T33" s="5">
        <v>-2.0</v>
      </c>
      <c r="U33" s="5">
        <v>13.0</v>
      </c>
      <c r="V33" s="5">
        <v>410.0</v>
      </c>
      <c r="W33" s="5">
        <v>6.0</v>
      </c>
      <c r="X33" s="5"/>
      <c r="Y33" s="5" t="str">
        <f>SQRT(Targets_DW[[#This Row],[TWS (km/h)]]^2+Targets_DW[[#This Row],[BSP (km/h)]]^2+2*Targets_DW[[#This Row],[TWS (km/h)]]*Targets_DW[[#This Row],[BSP (km/h)]]*COS(RADIANS(Targets_DW[[#This Row],[TWA (deg)]]+Targets_DW[[#This Row],[LEEWAY (deg)]])))</f>
        <v>#ERROR!</v>
      </c>
      <c r="Z33" s="5" t="str">
        <f>DEGREES(ASIN(Targets_DW[[#This Row],[TWS (km/h)]]*SIN(RADIANS(Targets_DW[[#This Row],[TWA (deg)]]+Targets_DW[[#This Row],[LEEWAY (deg)]]))/Targets_DW[[#This Row],[AWS]]))</f>
        <v>#ERROR!</v>
      </c>
      <c r="AA33" s="5" t="str">
        <f>Targets_DW[[#This Row],[AWA+Leeway]]-Targets_DW[[#This Row],[ROT (deg)]]</f>
        <v>#ERROR!</v>
      </c>
      <c r="AB33" s="5" t="str">
        <f>Targets_DW[[#This Row],[TWS (km/h)]]*(Targets_DW[[#This Row],[Wing]]/10)^0.1</f>
        <v>#ERROR!</v>
      </c>
      <c r="AC33" s="5" t="str">
        <f>SQRT(Targets_DW[[#This Row],[TWSTop]]^2+Targets_DW[[#This Row],[BSP (km/h)]]^2+2*Targets_DW[[#This Row],[BSP (km/h)]]*Targets_DW[[#This Row],[TWSTop]]*COS(RADIANS(Targets_DW[[#This Row],[TWA (deg)]]+Targets_DW[[#This Row],[LEEWAY (deg)]])))</f>
        <v>#ERROR!</v>
      </c>
      <c r="AD33" s="5" t="str">
        <f>DEGREES(ASIN(Targets_DW[[#This Row],[TWSTop]]*SIN(RADIANS(Targets_DW[[#This Row],[TWA (deg)]]+Targets_DW[[#This Row],[LEEWAY (deg)]]))/Targets_DW[[#This Row],[AWSTop]]))</f>
        <v>#ERROR!</v>
      </c>
      <c r="AE33" s="5" t="str">
        <f>Targets_DW[[#This Row],[AWA+Leeway Top]]-Targets_DW[[#This Row],[ROT (deg)]]</f>
        <v>#ERROR!</v>
      </c>
      <c r="AF33" s="5" t="str">
        <f>Targets_DW[[#This Row],[CLEW (deg)]]+Targets_DW[[#This Row],[TWIST (deg)]]</f>
        <v>#ERROR!</v>
      </c>
      <c r="AG33" s="6" t="str">
        <f>Targets_DW[[#This Row],[AWA+Leeway Top]]-Targets_DW[[#This Row],[CA6]]</f>
        <v>#ERROR!</v>
      </c>
      <c r="AH33" s="7" t="str">
        <f>Targets_DW[[#This Row],[AWA+Leeway]]-Targets_DW[[#This Row],[JibLead (deg)]]</f>
        <v>#ERROR!</v>
      </c>
    </row>
    <row r="34" ht="14.25" customHeight="1">
      <c r="A34" s="8" t="s">
        <v>34</v>
      </c>
      <c r="B34" s="9" t="s">
        <v>38</v>
      </c>
      <c r="C34" s="9" t="s">
        <v>36</v>
      </c>
      <c r="D34" s="9">
        <v>24.0</v>
      </c>
      <c r="E34" s="9" t="str">
        <f t="shared" si="1"/>
        <v>Foiling_LAB2_HSRW2-24m</v>
      </c>
      <c r="F34" s="9">
        <v>16.0</v>
      </c>
      <c r="G34" s="7" t="str">
        <f>ABS(Targets_DW[[#This Row],[BSP (km/h)]]*COS(RADIANS(Targets_DW[[#This Row],[TWA (deg)]]+Targets_DW[[#This Row],[LEEWAY (deg)]])))</f>
        <v>#ERROR!</v>
      </c>
      <c r="H34" s="7">
        <v>52.0</v>
      </c>
      <c r="I34" s="7">
        <v>133.0</v>
      </c>
      <c r="J34" s="7">
        <v>0.65</v>
      </c>
      <c r="K34" s="7">
        <v>4.0</v>
      </c>
      <c r="L34" s="7">
        <v>1.1</v>
      </c>
      <c r="M34" s="7" t="str">
        <f>Targets_DW[[#This Row],[CANT (deg)]]-Targets_DW[[#This Row],[HEEL (deg)]]</f>
        <v>#ERROR!</v>
      </c>
      <c r="N34" s="7">
        <v>1330.0</v>
      </c>
      <c r="O34" s="7">
        <v>1.23</v>
      </c>
      <c r="P34" s="7">
        <v>4.800000000000001</v>
      </c>
      <c r="Q34" s="7">
        <v>-3.0</v>
      </c>
      <c r="R34" s="7">
        <v>-24.7</v>
      </c>
      <c r="S34" s="7" t="str">
        <f>Targets_DW[[#This Row],[CLEW (deg)]]-0.5*Targets_DW[[#This Row],[CA1 (deg)]]</f>
        <v>#ERROR!</v>
      </c>
      <c r="T34" s="7">
        <v>-1.2</v>
      </c>
      <c r="U34" s="7">
        <v>14.0</v>
      </c>
      <c r="V34" s="7">
        <v>400.0</v>
      </c>
      <c r="W34" s="7">
        <v>6.5</v>
      </c>
      <c r="X34" s="7"/>
      <c r="Y34" s="7" t="str">
        <f>SQRT(Targets_DW[[#This Row],[TWS (km/h)]]^2+Targets_DW[[#This Row],[BSP (km/h)]]^2+2*Targets_DW[[#This Row],[TWS (km/h)]]*Targets_DW[[#This Row],[BSP (km/h)]]*COS(RADIANS(Targets_DW[[#This Row],[TWA (deg)]]+Targets_DW[[#This Row],[LEEWAY (deg)]])))</f>
        <v>#ERROR!</v>
      </c>
      <c r="Z34" s="7" t="str">
        <f>DEGREES(ASIN(Targets_DW[[#This Row],[TWS (km/h)]]*SIN(RADIANS(Targets_DW[[#This Row],[TWA (deg)]]+Targets_DW[[#This Row],[LEEWAY (deg)]]))/Targets_DW[[#This Row],[AWS]]))</f>
        <v>#ERROR!</v>
      </c>
      <c r="AA34" s="7" t="str">
        <f>Targets_DW[[#This Row],[AWA+Leeway]]-Targets_DW[[#This Row],[ROT (deg)]]</f>
        <v>#ERROR!</v>
      </c>
      <c r="AB34" s="7" t="str">
        <f>Targets_DW[[#This Row],[TWS (km/h)]]*(Targets_DW[[#This Row],[Wing]]/10)^0.1</f>
        <v>#ERROR!</v>
      </c>
      <c r="AC34" s="7" t="str">
        <f>SQRT(Targets_DW[[#This Row],[TWSTop]]^2+Targets_DW[[#This Row],[BSP (km/h)]]^2+2*Targets_DW[[#This Row],[BSP (km/h)]]*Targets_DW[[#This Row],[TWSTop]]*COS(RADIANS(Targets_DW[[#This Row],[TWA (deg)]]+Targets_DW[[#This Row],[LEEWAY (deg)]])))</f>
        <v>#ERROR!</v>
      </c>
      <c r="AD34" s="7" t="str">
        <f>DEGREES(ASIN(Targets_DW[[#This Row],[TWSTop]]*SIN(RADIANS(Targets_DW[[#This Row],[TWA (deg)]]+Targets_DW[[#This Row],[LEEWAY (deg)]]))/Targets_DW[[#This Row],[AWSTop]]))</f>
        <v>#ERROR!</v>
      </c>
      <c r="AE34" s="7" t="str">
        <f>Targets_DW[[#This Row],[AWA+Leeway Top]]-Targets_DW[[#This Row],[ROT (deg)]]</f>
        <v>#ERROR!</v>
      </c>
      <c r="AF34" s="7" t="str">
        <f>Targets_DW[[#This Row],[CLEW (deg)]]+Targets_DW[[#This Row],[TWIST (deg)]]</f>
        <v>#ERROR!</v>
      </c>
      <c r="AG34" s="10" t="str">
        <f>Targets_DW[[#This Row],[AWA+Leeway Top]]-Targets_DW[[#This Row],[CA6]]</f>
        <v>#ERROR!</v>
      </c>
      <c r="AH34" s="7" t="str">
        <f>Targets_DW[[#This Row],[AWA+Leeway]]-Targets_DW[[#This Row],[JibLead (deg)]]</f>
        <v>#ERROR!</v>
      </c>
    </row>
    <row r="35" ht="14.25" customHeight="1">
      <c r="A35" s="8" t="s">
        <v>34</v>
      </c>
      <c r="B35" s="9" t="s">
        <v>38</v>
      </c>
      <c r="C35" s="9" t="s">
        <v>36</v>
      </c>
      <c r="D35" s="9">
        <v>24.0</v>
      </c>
      <c r="E35" s="9" t="str">
        <f t="shared" si="1"/>
        <v>Foiling_LAB2_HSRW2-24m</v>
      </c>
      <c r="F35" s="9">
        <v>18.0</v>
      </c>
      <c r="G35" s="7" t="str">
        <f>ABS(Targets_DW[[#This Row],[BSP (km/h)]]*COS(RADIANS(Targets_DW[[#This Row],[TWA (deg)]]+Targets_DW[[#This Row],[LEEWAY (deg)]])))</f>
        <v>#ERROR!</v>
      </c>
      <c r="H35" s="7">
        <v>53.5</v>
      </c>
      <c r="I35" s="7">
        <v>135.0</v>
      </c>
      <c r="J35" s="7">
        <v>0.55</v>
      </c>
      <c r="K35" s="7">
        <v>3.0</v>
      </c>
      <c r="L35" s="7">
        <v>0.95</v>
      </c>
      <c r="M35" s="7" t="str">
        <f>Targets_DW[[#This Row],[CANT (deg)]]-Targets_DW[[#This Row],[HEEL (deg)]]</f>
        <v>#ERROR!</v>
      </c>
      <c r="N35" s="7">
        <v>1350.0</v>
      </c>
      <c r="O35" s="7">
        <v>1.19</v>
      </c>
      <c r="P35" s="7">
        <v>4.45</v>
      </c>
      <c r="Q35" s="7">
        <v>-3.0</v>
      </c>
      <c r="R35" s="7">
        <v>-24.2</v>
      </c>
      <c r="S35" s="7" t="str">
        <f>Targets_DW[[#This Row],[CLEW (deg)]]-0.5*Targets_DW[[#This Row],[CA1 (deg)]]</f>
        <v>#ERROR!</v>
      </c>
      <c r="T35" s="7">
        <v>-0.5</v>
      </c>
      <c r="U35" s="7">
        <v>15.0</v>
      </c>
      <c r="V35" s="7">
        <v>410.0</v>
      </c>
      <c r="W35" s="7">
        <v>7.1</v>
      </c>
      <c r="X35" s="7"/>
      <c r="Y35" s="7" t="str">
        <f>SQRT(Targets_DW[[#This Row],[TWS (km/h)]]^2+Targets_DW[[#This Row],[BSP (km/h)]]^2+2*Targets_DW[[#This Row],[TWS (km/h)]]*Targets_DW[[#This Row],[BSP (km/h)]]*COS(RADIANS(Targets_DW[[#This Row],[TWA (deg)]]+Targets_DW[[#This Row],[LEEWAY (deg)]])))</f>
        <v>#ERROR!</v>
      </c>
      <c r="Z35" s="7" t="str">
        <f>DEGREES(ASIN(Targets_DW[[#This Row],[TWS (km/h)]]*SIN(RADIANS(Targets_DW[[#This Row],[TWA (deg)]]+Targets_DW[[#This Row],[LEEWAY (deg)]]))/Targets_DW[[#This Row],[AWS]]))</f>
        <v>#ERROR!</v>
      </c>
      <c r="AA35" s="7" t="str">
        <f>Targets_DW[[#This Row],[AWA+Leeway]]-Targets_DW[[#This Row],[ROT (deg)]]</f>
        <v>#ERROR!</v>
      </c>
      <c r="AB35" s="7" t="str">
        <f>Targets_DW[[#This Row],[TWS (km/h)]]*(Targets_DW[[#This Row],[Wing]]/10)^0.1</f>
        <v>#ERROR!</v>
      </c>
      <c r="AC35" s="7" t="str">
        <f>SQRT(Targets_DW[[#This Row],[TWSTop]]^2+Targets_DW[[#This Row],[BSP (km/h)]]^2+2*Targets_DW[[#This Row],[BSP (km/h)]]*Targets_DW[[#This Row],[TWSTop]]*COS(RADIANS(Targets_DW[[#This Row],[TWA (deg)]]+Targets_DW[[#This Row],[LEEWAY (deg)]])))</f>
        <v>#ERROR!</v>
      </c>
      <c r="AD35" s="7" t="str">
        <f>DEGREES(ASIN(Targets_DW[[#This Row],[TWSTop]]*SIN(RADIANS(Targets_DW[[#This Row],[TWA (deg)]]+Targets_DW[[#This Row],[LEEWAY (deg)]]))/Targets_DW[[#This Row],[AWSTop]]))</f>
        <v>#ERROR!</v>
      </c>
      <c r="AE35" s="7" t="str">
        <f>Targets_DW[[#This Row],[AWA+Leeway Top]]-Targets_DW[[#This Row],[ROT (deg)]]</f>
        <v>#ERROR!</v>
      </c>
      <c r="AF35" s="7" t="str">
        <f>Targets_DW[[#This Row],[CLEW (deg)]]+Targets_DW[[#This Row],[TWIST (deg)]]</f>
        <v>#ERROR!</v>
      </c>
      <c r="AG35" s="10" t="str">
        <f>Targets_DW[[#This Row],[AWA+Leeway Top]]-Targets_DW[[#This Row],[CA6]]</f>
        <v>#ERROR!</v>
      </c>
      <c r="AH35" s="7" t="str">
        <f>Targets_DW[[#This Row],[AWA+Leeway]]-Targets_DW[[#This Row],[JibLead (deg)]]</f>
        <v>#ERROR!</v>
      </c>
    </row>
    <row r="36" ht="14.25" customHeight="1">
      <c r="A36" s="8" t="s">
        <v>34</v>
      </c>
      <c r="B36" s="9" t="s">
        <v>38</v>
      </c>
      <c r="C36" s="9" t="s">
        <v>36</v>
      </c>
      <c r="D36" s="9">
        <v>24.0</v>
      </c>
      <c r="E36" s="9" t="str">
        <f t="shared" si="1"/>
        <v>Foiling_LAB2_HSRW2-24m</v>
      </c>
      <c r="F36" s="9">
        <v>20.0</v>
      </c>
      <c r="G36" s="7" t="str">
        <f>ABS(Targets_DW[[#This Row],[BSP (km/h)]]*COS(RADIANS(Targets_DW[[#This Row],[TWA (deg)]]+Targets_DW[[#This Row],[LEEWAY (deg)]])))</f>
        <v>#ERROR!</v>
      </c>
      <c r="H36" s="7">
        <v>57.0</v>
      </c>
      <c r="I36" s="7">
        <v>137.0</v>
      </c>
      <c r="J36" s="7">
        <v>0.5</v>
      </c>
      <c r="K36" s="7">
        <v>1.2999999999999998</v>
      </c>
      <c r="L36" s="7">
        <v>0.8</v>
      </c>
      <c r="M36" s="7" t="str">
        <f>Targets_DW[[#This Row],[CANT (deg)]]-Targets_DW[[#This Row],[HEEL (deg)]]</f>
        <v>#ERROR!</v>
      </c>
      <c r="N36" s="7">
        <v>1360.0</v>
      </c>
      <c r="O36" s="7">
        <v>1.11</v>
      </c>
      <c r="P36" s="7">
        <v>4.2516222</v>
      </c>
      <c r="Q36" s="7">
        <v>-3.0</v>
      </c>
      <c r="R36" s="7">
        <v>-23.5</v>
      </c>
      <c r="S36" s="7" t="str">
        <f>Targets_DW[[#This Row],[CLEW (deg)]]-0.5*Targets_DW[[#This Row],[CA1 (deg)]]</f>
        <v>#ERROR!</v>
      </c>
      <c r="T36" s="7">
        <v>0.1</v>
      </c>
      <c r="U36" s="7">
        <v>15.2</v>
      </c>
      <c r="V36" s="7">
        <v>450.0</v>
      </c>
      <c r="W36" s="7">
        <v>7.4</v>
      </c>
      <c r="X36" s="7"/>
      <c r="Y36" s="7" t="str">
        <f>SQRT(Targets_DW[[#This Row],[TWS (km/h)]]^2+Targets_DW[[#This Row],[BSP (km/h)]]^2+2*Targets_DW[[#This Row],[TWS (km/h)]]*Targets_DW[[#This Row],[BSP (km/h)]]*COS(RADIANS(Targets_DW[[#This Row],[TWA (deg)]]+Targets_DW[[#This Row],[LEEWAY (deg)]])))</f>
        <v>#ERROR!</v>
      </c>
      <c r="Z36" s="7" t="str">
        <f>DEGREES(ASIN(Targets_DW[[#This Row],[TWS (km/h)]]*SIN(RADIANS(Targets_DW[[#This Row],[TWA (deg)]]+Targets_DW[[#This Row],[LEEWAY (deg)]]))/Targets_DW[[#This Row],[AWS]]))</f>
        <v>#ERROR!</v>
      </c>
      <c r="AA36" s="7" t="str">
        <f>Targets_DW[[#This Row],[AWA+Leeway]]-Targets_DW[[#This Row],[ROT (deg)]]</f>
        <v>#ERROR!</v>
      </c>
      <c r="AB36" s="7" t="str">
        <f>Targets_DW[[#This Row],[TWS (km/h)]]*(Targets_DW[[#This Row],[Wing]]/10)^0.1</f>
        <v>#ERROR!</v>
      </c>
      <c r="AC36" s="7" t="str">
        <f>SQRT(Targets_DW[[#This Row],[TWSTop]]^2+Targets_DW[[#This Row],[BSP (km/h)]]^2+2*Targets_DW[[#This Row],[BSP (km/h)]]*Targets_DW[[#This Row],[TWSTop]]*COS(RADIANS(Targets_DW[[#This Row],[TWA (deg)]]+Targets_DW[[#This Row],[LEEWAY (deg)]])))</f>
        <v>#ERROR!</v>
      </c>
      <c r="AD36" s="7" t="str">
        <f>DEGREES(ASIN(Targets_DW[[#This Row],[TWSTop]]*SIN(RADIANS(Targets_DW[[#This Row],[TWA (deg)]]+Targets_DW[[#This Row],[LEEWAY (deg)]]))/Targets_DW[[#This Row],[AWSTop]]))</f>
        <v>#ERROR!</v>
      </c>
      <c r="AE36" s="7" t="str">
        <f>Targets_DW[[#This Row],[AWA+Leeway Top]]-Targets_DW[[#This Row],[ROT (deg)]]</f>
        <v>#ERROR!</v>
      </c>
      <c r="AF36" s="7" t="str">
        <f>Targets_DW[[#This Row],[CLEW (deg)]]+Targets_DW[[#This Row],[TWIST (deg)]]</f>
        <v>#ERROR!</v>
      </c>
      <c r="AG36" s="10" t="str">
        <f>Targets_DW[[#This Row],[AWA+Leeway Top]]-Targets_DW[[#This Row],[CA6]]</f>
        <v>#ERROR!</v>
      </c>
      <c r="AH36" s="7" t="str">
        <f>Targets_DW[[#This Row],[AWA+Leeway]]-Targets_DW[[#This Row],[JibLead (deg)]]</f>
        <v>#ERROR!</v>
      </c>
    </row>
    <row r="37" ht="14.25" customHeight="1">
      <c r="A37" s="8" t="s">
        <v>34</v>
      </c>
      <c r="B37" s="9" t="s">
        <v>38</v>
      </c>
      <c r="C37" s="9" t="s">
        <v>36</v>
      </c>
      <c r="D37" s="9">
        <v>24.0</v>
      </c>
      <c r="E37" s="9" t="str">
        <f t="shared" si="1"/>
        <v>Foiling_LAB2_HSRW2-24m</v>
      </c>
      <c r="F37" s="9">
        <v>22.0</v>
      </c>
      <c r="G37" s="7" t="str">
        <f>ABS(Targets_DW[[#This Row],[BSP (km/h)]]*COS(RADIANS(Targets_DW[[#This Row],[TWA (deg)]]+Targets_DW[[#This Row],[LEEWAY (deg)]])))</f>
        <v>#ERROR!</v>
      </c>
      <c r="H37" s="7">
        <v>60.6</v>
      </c>
      <c r="I37" s="7">
        <v>138.5</v>
      </c>
      <c r="J37" s="7">
        <v>0.4</v>
      </c>
      <c r="K37" s="7">
        <v>-0.3999999999999999</v>
      </c>
      <c r="L37" s="7">
        <v>0.6</v>
      </c>
      <c r="M37" s="7" t="str">
        <f>Targets_DW[[#This Row],[CANT (deg)]]-Targets_DW[[#This Row],[HEEL (deg)]]</f>
        <v>#ERROR!</v>
      </c>
      <c r="N37" s="7">
        <v>1350.0</v>
      </c>
      <c r="O37" s="7">
        <v>1.01</v>
      </c>
      <c r="P37" s="7">
        <v>4.12597122999999</v>
      </c>
      <c r="Q37" s="7">
        <v>-3.0</v>
      </c>
      <c r="R37" s="7">
        <v>-23.0</v>
      </c>
      <c r="S37" s="7" t="str">
        <f>Targets_DW[[#This Row],[CLEW (deg)]]-0.5*Targets_DW[[#This Row],[CA1 (deg)]]</f>
        <v>#ERROR!</v>
      </c>
      <c r="T37" s="7">
        <v>0.6</v>
      </c>
      <c r="U37" s="7">
        <v>15.0</v>
      </c>
      <c r="V37" s="7">
        <v>520.0</v>
      </c>
      <c r="W37" s="7">
        <v>7.6</v>
      </c>
      <c r="X37" s="7"/>
      <c r="Y37" s="7" t="str">
        <f>SQRT(Targets_DW[[#This Row],[TWS (km/h)]]^2+Targets_DW[[#This Row],[BSP (km/h)]]^2+2*Targets_DW[[#This Row],[TWS (km/h)]]*Targets_DW[[#This Row],[BSP (km/h)]]*COS(RADIANS(Targets_DW[[#This Row],[TWA (deg)]]+Targets_DW[[#This Row],[LEEWAY (deg)]])))</f>
        <v>#ERROR!</v>
      </c>
      <c r="Z37" s="7" t="str">
        <f>DEGREES(ASIN(Targets_DW[[#This Row],[TWS (km/h)]]*SIN(RADIANS(Targets_DW[[#This Row],[TWA (deg)]]+Targets_DW[[#This Row],[LEEWAY (deg)]]))/Targets_DW[[#This Row],[AWS]]))</f>
        <v>#ERROR!</v>
      </c>
      <c r="AA37" s="7" t="str">
        <f>Targets_DW[[#This Row],[AWA+Leeway]]-Targets_DW[[#This Row],[ROT (deg)]]</f>
        <v>#ERROR!</v>
      </c>
      <c r="AB37" s="7" t="str">
        <f>Targets_DW[[#This Row],[TWS (km/h)]]*(Targets_DW[[#This Row],[Wing]]/10)^0.1</f>
        <v>#ERROR!</v>
      </c>
      <c r="AC37" s="7" t="str">
        <f>SQRT(Targets_DW[[#This Row],[TWSTop]]^2+Targets_DW[[#This Row],[BSP (km/h)]]^2+2*Targets_DW[[#This Row],[BSP (km/h)]]*Targets_DW[[#This Row],[TWSTop]]*COS(RADIANS(Targets_DW[[#This Row],[TWA (deg)]]+Targets_DW[[#This Row],[LEEWAY (deg)]])))</f>
        <v>#ERROR!</v>
      </c>
      <c r="AD37" s="7" t="str">
        <f>DEGREES(ASIN(Targets_DW[[#This Row],[TWSTop]]*SIN(RADIANS(Targets_DW[[#This Row],[TWA (deg)]]+Targets_DW[[#This Row],[LEEWAY (deg)]]))/Targets_DW[[#This Row],[AWSTop]]))</f>
        <v>#ERROR!</v>
      </c>
      <c r="AE37" s="7" t="str">
        <f>Targets_DW[[#This Row],[AWA+Leeway Top]]-Targets_DW[[#This Row],[ROT (deg)]]</f>
        <v>#ERROR!</v>
      </c>
      <c r="AF37" s="7" t="str">
        <f>Targets_DW[[#This Row],[CLEW (deg)]]+Targets_DW[[#This Row],[TWIST (deg)]]</f>
        <v>#ERROR!</v>
      </c>
      <c r="AG37" s="10" t="str">
        <f>Targets_DW[[#This Row],[AWA+Leeway Top]]-Targets_DW[[#This Row],[CA6]]</f>
        <v>#ERROR!</v>
      </c>
      <c r="AH37" s="7" t="str">
        <f>Targets_DW[[#This Row],[AWA+Leeway]]-Targets_DW[[#This Row],[JibLead (deg)]]</f>
        <v>#ERROR!</v>
      </c>
    </row>
    <row r="38" ht="14.25" customHeight="1">
      <c r="A38" s="8" t="s">
        <v>34</v>
      </c>
      <c r="B38" s="9" t="s">
        <v>38</v>
      </c>
      <c r="C38" s="9" t="s">
        <v>36</v>
      </c>
      <c r="D38" s="9">
        <v>24.0</v>
      </c>
      <c r="E38" s="9" t="str">
        <f t="shared" si="1"/>
        <v>Foiling_LAB2_HSRW2-24m</v>
      </c>
      <c r="F38" s="9">
        <v>24.0</v>
      </c>
      <c r="G38" s="7" t="str">
        <f>ABS(Targets_DW[[#This Row],[BSP (km/h)]]*COS(RADIANS(Targets_DW[[#This Row],[TWA (deg)]]+Targets_DW[[#This Row],[LEEWAY (deg)]])))</f>
        <v>#ERROR!</v>
      </c>
      <c r="H38" s="7">
        <v>65.2</v>
      </c>
      <c r="I38" s="7">
        <v>141.0</v>
      </c>
      <c r="J38" s="7">
        <v>0.3</v>
      </c>
      <c r="K38" s="7">
        <v>-1.8</v>
      </c>
      <c r="L38" s="7">
        <v>0.4</v>
      </c>
      <c r="M38" s="7" t="str">
        <f>Targets_DW[[#This Row],[CANT (deg)]]-Targets_DW[[#This Row],[HEEL (deg)]]</f>
        <v>#ERROR!</v>
      </c>
      <c r="N38" s="7">
        <v>1325.0</v>
      </c>
      <c r="O38" s="7">
        <v>0.87</v>
      </c>
      <c r="P38" s="7">
        <v>4.1</v>
      </c>
      <c r="Q38" s="7">
        <v>-3.0</v>
      </c>
      <c r="R38" s="7">
        <v>-22.6</v>
      </c>
      <c r="S38" s="7" t="str">
        <f>Targets_DW[[#This Row],[CLEW (deg)]]-0.5*Targets_DW[[#This Row],[CA1 (deg)]]</f>
        <v>#ERROR!</v>
      </c>
      <c r="T38" s="7">
        <v>1.1</v>
      </c>
      <c r="U38" s="7">
        <v>14.5</v>
      </c>
      <c r="V38" s="7">
        <v>600.0</v>
      </c>
      <c r="W38" s="7">
        <v>7.8</v>
      </c>
      <c r="X38" s="7"/>
      <c r="Y38" s="7" t="str">
        <f>SQRT(Targets_DW[[#This Row],[TWS (km/h)]]^2+Targets_DW[[#This Row],[BSP (km/h)]]^2+2*Targets_DW[[#This Row],[TWS (km/h)]]*Targets_DW[[#This Row],[BSP (km/h)]]*COS(RADIANS(Targets_DW[[#This Row],[TWA (deg)]]+Targets_DW[[#This Row],[LEEWAY (deg)]])))</f>
        <v>#ERROR!</v>
      </c>
      <c r="Z38" s="7" t="str">
        <f>DEGREES(ASIN(Targets_DW[[#This Row],[TWS (km/h)]]*SIN(RADIANS(Targets_DW[[#This Row],[TWA (deg)]]+Targets_DW[[#This Row],[LEEWAY (deg)]]))/Targets_DW[[#This Row],[AWS]]))</f>
        <v>#ERROR!</v>
      </c>
      <c r="AA38" s="7" t="str">
        <f>Targets_DW[[#This Row],[AWA+Leeway]]-Targets_DW[[#This Row],[ROT (deg)]]</f>
        <v>#ERROR!</v>
      </c>
      <c r="AB38" s="7" t="str">
        <f>Targets_DW[[#This Row],[TWS (km/h)]]*(Targets_DW[[#This Row],[Wing]]/10)^0.1</f>
        <v>#ERROR!</v>
      </c>
      <c r="AC38" s="7" t="str">
        <f>SQRT(Targets_DW[[#This Row],[TWSTop]]^2+Targets_DW[[#This Row],[BSP (km/h)]]^2+2*Targets_DW[[#This Row],[BSP (km/h)]]*Targets_DW[[#This Row],[TWSTop]]*COS(RADIANS(Targets_DW[[#This Row],[TWA (deg)]]+Targets_DW[[#This Row],[LEEWAY (deg)]])))</f>
        <v>#ERROR!</v>
      </c>
      <c r="AD38" s="7" t="str">
        <f>DEGREES(ASIN(Targets_DW[[#This Row],[TWSTop]]*SIN(RADIANS(Targets_DW[[#This Row],[TWA (deg)]]+Targets_DW[[#This Row],[LEEWAY (deg)]]))/Targets_DW[[#This Row],[AWSTop]]))</f>
        <v>#ERROR!</v>
      </c>
      <c r="AE38" s="7" t="str">
        <f>Targets_DW[[#This Row],[AWA+Leeway Top]]-Targets_DW[[#This Row],[ROT (deg)]]</f>
        <v>#ERROR!</v>
      </c>
      <c r="AF38" s="7" t="str">
        <f>Targets_DW[[#This Row],[CLEW (deg)]]+Targets_DW[[#This Row],[TWIST (deg)]]</f>
        <v>#ERROR!</v>
      </c>
      <c r="AG38" s="10" t="str">
        <f>Targets_DW[[#This Row],[AWA+Leeway Top]]-Targets_DW[[#This Row],[CA6]]</f>
        <v>#ERROR!</v>
      </c>
      <c r="AH38" s="7" t="str">
        <f>Targets_DW[[#This Row],[AWA+Leeway]]-Targets_DW[[#This Row],[JibLead (deg)]]</f>
        <v>#ERROR!</v>
      </c>
    </row>
    <row r="39" ht="14.25" customHeight="1">
      <c r="A39" s="8" t="s">
        <v>34</v>
      </c>
      <c r="B39" s="9" t="s">
        <v>38</v>
      </c>
      <c r="C39" s="9" t="s">
        <v>36</v>
      </c>
      <c r="D39" s="9">
        <v>24.0</v>
      </c>
      <c r="E39" s="9" t="str">
        <f t="shared" si="1"/>
        <v>Foiling_LAB2_HSRW2-24m</v>
      </c>
      <c r="F39" s="9">
        <v>26.0</v>
      </c>
      <c r="G39" s="7" t="str">
        <f>ABS(Targets_DW[[#This Row],[BSP (km/h)]]*COS(RADIANS(Targets_DW[[#This Row],[TWA (deg)]]+Targets_DW[[#This Row],[LEEWAY (deg)]])))</f>
        <v>#ERROR!</v>
      </c>
      <c r="H39" s="7">
        <v>69.7</v>
      </c>
      <c r="I39" s="7">
        <v>143.0</v>
      </c>
      <c r="J39" s="7">
        <v>0.2</v>
      </c>
      <c r="K39" s="7">
        <v>-3.3</v>
      </c>
      <c r="L39" s="7">
        <v>0.2</v>
      </c>
      <c r="M39" s="7" t="str">
        <f>Targets_DW[[#This Row],[CANT (deg)]]-Targets_DW[[#This Row],[HEEL (deg)]]</f>
        <v>#ERROR!</v>
      </c>
      <c r="N39" s="7">
        <v>1300.0</v>
      </c>
      <c r="O39" s="7">
        <v>0.69</v>
      </c>
      <c r="P39" s="7">
        <v>4.05</v>
      </c>
      <c r="Q39" s="7">
        <v>-3.0</v>
      </c>
      <c r="R39" s="7">
        <v>-22.3</v>
      </c>
      <c r="S39" s="7" t="str">
        <f>Targets_DW[[#This Row],[CLEW (deg)]]-0.5*Targets_DW[[#This Row],[CA1 (deg)]]</f>
        <v>#ERROR!</v>
      </c>
      <c r="T39" s="7">
        <v>1.6</v>
      </c>
      <c r="U39" s="7">
        <v>14.0</v>
      </c>
      <c r="V39" s="7">
        <v>675.0</v>
      </c>
      <c r="W39" s="7">
        <v>7.9</v>
      </c>
      <c r="X39" s="7"/>
      <c r="Y39" s="7" t="str">
        <f>SQRT(Targets_DW[[#This Row],[TWS (km/h)]]^2+Targets_DW[[#This Row],[BSP (km/h)]]^2+2*Targets_DW[[#This Row],[TWS (km/h)]]*Targets_DW[[#This Row],[BSP (km/h)]]*COS(RADIANS(Targets_DW[[#This Row],[TWA (deg)]]+Targets_DW[[#This Row],[LEEWAY (deg)]])))</f>
        <v>#ERROR!</v>
      </c>
      <c r="Z39" s="7" t="str">
        <f>DEGREES(ASIN(Targets_DW[[#This Row],[TWS (km/h)]]*SIN(RADIANS(Targets_DW[[#This Row],[TWA (deg)]]+Targets_DW[[#This Row],[LEEWAY (deg)]]))/Targets_DW[[#This Row],[AWS]]))</f>
        <v>#ERROR!</v>
      </c>
      <c r="AA39" s="7" t="str">
        <f>Targets_DW[[#This Row],[AWA+Leeway]]-Targets_DW[[#This Row],[ROT (deg)]]</f>
        <v>#ERROR!</v>
      </c>
      <c r="AB39" s="7" t="str">
        <f>Targets_DW[[#This Row],[TWS (km/h)]]*(Targets_DW[[#This Row],[Wing]]/10)^0.1</f>
        <v>#ERROR!</v>
      </c>
      <c r="AC39" s="7" t="str">
        <f>SQRT(Targets_DW[[#This Row],[TWSTop]]^2+Targets_DW[[#This Row],[BSP (km/h)]]^2+2*Targets_DW[[#This Row],[BSP (km/h)]]*Targets_DW[[#This Row],[TWSTop]]*COS(RADIANS(Targets_DW[[#This Row],[TWA (deg)]]+Targets_DW[[#This Row],[LEEWAY (deg)]])))</f>
        <v>#ERROR!</v>
      </c>
      <c r="AD39" s="7" t="str">
        <f>DEGREES(ASIN(Targets_DW[[#This Row],[TWSTop]]*SIN(RADIANS(Targets_DW[[#This Row],[TWA (deg)]]+Targets_DW[[#This Row],[LEEWAY (deg)]]))/Targets_DW[[#This Row],[AWSTop]]))</f>
        <v>#ERROR!</v>
      </c>
      <c r="AE39" s="7" t="str">
        <f>Targets_DW[[#This Row],[AWA+Leeway Top]]-Targets_DW[[#This Row],[ROT (deg)]]</f>
        <v>#ERROR!</v>
      </c>
      <c r="AF39" s="7" t="str">
        <f>Targets_DW[[#This Row],[CLEW (deg)]]+Targets_DW[[#This Row],[TWIST (deg)]]</f>
        <v>#ERROR!</v>
      </c>
      <c r="AG39" s="10" t="str">
        <f>Targets_DW[[#This Row],[AWA+Leeway Top]]-Targets_DW[[#This Row],[CA6]]</f>
        <v>#ERROR!</v>
      </c>
      <c r="AH39" s="7" t="str">
        <f>Targets_DW[[#This Row],[AWA+Leeway]]-Targets_DW[[#This Row],[JibLead (deg)]]</f>
        <v>#ERROR!</v>
      </c>
    </row>
    <row r="40" ht="14.25" customHeight="1">
      <c r="A40" s="11" t="s">
        <v>34</v>
      </c>
      <c r="B40" s="12" t="s">
        <v>38</v>
      </c>
      <c r="C40" s="12" t="s">
        <v>36</v>
      </c>
      <c r="D40" s="12">
        <v>24.0</v>
      </c>
      <c r="E40" s="12" t="str">
        <f t="shared" si="1"/>
        <v>Foiling_LAB2_HSRW2-24m</v>
      </c>
      <c r="F40" s="12">
        <v>28.0</v>
      </c>
      <c r="G40" s="13" t="str">
        <f>ABS(Targets_DW[[#This Row],[BSP (km/h)]]*COS(RADIANS(Targets_DW[[#This Row],[TWA (deg)]]+Targets_DW[[#This Row],[LEEWAY (deg)]])))</f>
        <v>#ERROR!</v>
      </c>
      <c r="H40" s="13">
        <v>73.8</v>
      </c>
      <c r="I40" s="13">
        <v>144.5</v>
      </c>
      <c r="J40" s="13">
        <v>0.2</v>
      </c>
      <c r="K40" s="13">
        <v>-4.5</v>
      </c>
      <c r="L40" s="13">
        <v>0.0</v>
      </c>
      <c r="M40" s="13" t="str">
        <f>Targets_DW[[#This Row],[CANT (deg)]]-Targets_DW[[#This Row],[HEEL (deg)]]</f>
        <v>#ERROR!</v>
      </c>
      <c r="N40" s="13">
        <v>1275.0</v>
      </c>
      <c r="O40" s="13">
        <v>0.52</v>
      </c>
      <c r="P40" s="13">
        <v>4.08</v>
      </c>
      <c r="Q40" s="13">
        <v>-3.0</v>
      </c>
      <c r="R40" s="13">
        <v>-22.0</v>
      </c>
      <c r="S40" s="13" t="str">
        <f>Targets_DW[[#This Row],[CLEW (deg)]]-0.5*Targets_DW[[#This Row],[CA1 (deg)]]</f>
        <v>#ERROR!</v>
      </c>
      <c r="T40" s="13">
        <v>2.0</v>
      </c>
      <c r="U40" s="13">
        <v>13.5</v>
      </c>
      <c r="V40" s="13">
        <v>750.0</v>
      </c>
      <c r="W40" s="13">
        <v>8.0</v>
      </c>
      <c r="X40" s="13"/>
      <c r="Y40" s="13" t="str">
        <f>SQRT(Targets_DW[[#This Row],[TWS (km/h)]]^2+Targets_DW[[#This Row],[BSP (km/h)]]^2+2*Targets_DW[[#This Row],[TWS (km/h)]]*Targets_DW[[#This Row],[BSP (km/h)]]*COS(RADIANS(Targets_DW[[#This Row],[TWA (deg)]]+Targets_DW[[#This Row],[LEEWAY (deg)]])))</f>
        <v>#ERROR!</v>
      </c>
      <c r="Z40" s="13" t="str">
        <f>DEGREES(ASIN(Targets_DW[[#This Row],[TWS (km/h)]]*SIN(RADIANS(Targets_DW[[#This Row],[TWA (deg)]]+Targets_DW[[#This Row],[LEEWAY (deg)]]))/Targets_DW[[#This Row],[AWS]]))</f>
        <v>#ERROR!</v>
      </c>
      <c r="AA40" s="13" t="str">
        <f>Targets_DW[[#This Row],[AWA+Leeway]]-Targets_DW[[#This Row],[ROT (deg)]]</f>
        <v>#ERROR!</v>
      </c>
      <c r="AB40" s="13" t="str">
        <f>Targets_DW[[#This Row],[TWS (km/h)]]*(Targets_DW[[#This Row],[Wing]]/10)^0.1</f>
        <v>#ERROR!</v>
      </c>
      <c r="AC40" s="13" t="str">
        <f>SQRT(Targets_DW[[#This Row],[TWSTop]]^2+Targets_DW[[#This Row],[BSP (km/h)]]^2+2*Targets_DW[[#This Row],[BSP (km/h)]]*Targets_DW[[#This Row],[TWSTop]]*COS(RADIANS(Targets_DW[[#This Row],[TWA (deg)]]+Targets_DW[[#This Row],[LEEWAY (deg)]])))</f>
        <v>#ERROR!</v>
      </c>
      <c r="AD40" s="13" t="str">
        <f>DEGREES(ASIN(Targets_DW[[#This Row],[TWSTop]]*SIN(RADIANS(Targets_DW[[#This Row],[TWA (deg)]]+Targets_DW[[#This Row],[LEEWAY (deg)]]))/Targets_DW[[#This Row],[AWSTop]]))</f>
        <v>#ERROR!</v>
      </c>
      <c r="AE40" s="13" t="str">
        <f>Targets_DW[[#This Row],[AWA+Leeway Top]]-Targets_DW[[#This Row],[ROT (deg)]]</f>
        <v>#ERROR!</v>
      </c>
      <c r="AF40" s="13" t="str">
        <f>Targets_DW[[#This Row],[CLEW (deg)]]+Targets_DW[[#This Row],[TWIST (deg)]]</f>
        <v>#ERROR!</v>
      </c>
      <c r="AG40" s="14" t="str">
        <f>Targets_DW[[#This Row],[AWA+Leeway Top]]-Targets_DW[[#This Row],[CA6]]</f>
        <v>#ERROR!</v>
      </c>
      <c r="AH40" s="7" t="str">
        <f>Targets_DW[[#This Row],[AWA+Leeway]]-Targets_DW[[#This Row],[JibLead (deg)]]</f>
        <v>#ERROR!</v>
      </c>
    </row>
    <row r="41" ht="14.25" customHeight="1">
      <c r="A41" s="3" t="s">
        <v>34</v>
      </c>
      <c r="B41" s="4" t="s">
        <v>38</v>
      </c>
      <c r="C41" s="4" t="s">
        <v>37</v>
      </c>
      <c r="D41" s="4">
        <v>24.0</v>
      </c>
      <c r="E41" s="4" t="str">
        <f t="shared" si="1"/>
        <v>Foiling_LAB2_LARW2-24m</v>
      </c>
      <c r="F41" s="4">
        <v>14.0</v>
      </c>
      <c r="G41" s="5" t="str">
        <f>ABS(Targets_DW[[#This Row],[BSP (km/h)]]*COS(RADIANS(Targets_DW[[#This Row],[TWA (deg)]]+Targets_DW[[#This Row],[LEEWAY (deg)]])))</f>
        <v>#ERROR!</v>
      </c>
      <c r="H41" s="5">
        <v>50.0</v>
      </c>
      <c r="I41" s="5">
        <v>130.0</v>
      </c>
      <c r="J41" s="5">
        <v>0.9</v>
      </c>
      <c r="K41" s="5">
        <v>4.0</v>
      </c>
      <c r="L41" s="5">
        <v>1.2</v>
      </c>
      <c r="M41" s="5" t="str">
        <f>Targets_DW[[#This Row],[CANT (deg)]]-Targets_DW[[#This Row],[HEEL (deg)]]</f>
        <v>#ERROR!</v>
      </c>
      <c r="N41" s="5">
        <v>1310.0</v>
      </c>
      <c r="O41" s="5">
        <v>0.7</v>
      </c>
      <c r="P41" s="5">
        <v>2.8</v>
      </c>
      <c r="Q41" s="5">
        <v>-3.0</v>
      </c>
      <c r="R41" s="5">
        <v>-25.5</v>
      </c>
      <c r="S41" s="5" t="str">
        <f>Targets_DW[[#This Row],[CLEW (deg)]]-0.5*Targets_DW[[#This Row],[CA1 (deg)]]</f>
        <v>#ERROR!</v>
      </c>
      <c r="T41" s="5">
        <v>-2.0</v>
      </c>
      <c r="U41" s="5">
        <v>13.5</v>
      </c>
      <c r="V41" s="5">
        <v>385.0</v>
      </c>
      <c r="W41" s="5">
        <v>6.0</v>
      </c>
      <c r="X41" s="5">
        <v>630.0</v>
      </c>
      <c r="Y41" s="5" t="str">
        <f>SQRT(Targets_DW[[#This Row],[TWS (km/h)]]^2+Targets_DW[[#This Row],[BSP (km/h)]]^2+2*Targets_DW[[#This Row],[TWS (km/h)]]*Targets_DW[[#This Row],[BSP (km/h)]]*COS(RADIANS(Targets_DW[[#This Row],[TWA (deg)]]+Targets_DW[[#This Row],[LEEWAY (deg)]])))</f>
        <v>#ERROR!</v>
      </c>
      <c r="Z41" s="5" t="str">
        <f>DEGREES(ASIN(Targets_DW[[#This Row],[TWS (km/h)]]*SIN(RADIANS(Targets_DW[[#This Row],[TWA (deg)]]+Targets_DW[[#This Row],[LEEWAY (deg)]]))/Targets_DW[[#This Row],[AWS]]))</f>
        <v>#ERROR!</v>
      </c>
      <c r="AA41" s="5" t="str">
        <f>Targets_DW[[#This Row],[AWA+Leeway]]-Targets_DW[[#This Row],[ROT (deg)]]</f>
        <v>#ERROR!</v>
      </c>
      <c r="AB41" s="5" t="str">
        <f>Targets_DW[[#This Row],[TWS (km/h)]]*(Targets_DW[[#This Row],[Wing]]/10)^0.1</f>
        <v>#ERROR!</v>
      </c>
      <c r="AC41" s="5" t="str">
        <f>SQRT(Targets_DW[[#This Row],[TWSTop]]^2+Targets_DW[[#This Row],[BSP (km/h)]]^2+2*Targets_DW[[#This Row],[BSP (km/h)]]*Targets_DW[[#This Row],[TWSTop]]*COS(RADIANS(Targets_DW[[#This Row],[TWA (deg)]]+Targets_DW[[#This Row],[LEEWAY (deg)]])))</f>
        <v>#ERROR!</v>
      </c>
      <c r="AD41" s="5" t="str">
        <f>DEGREES(ASIN(Targets_DW[[#This Row],[TWSTop]]*SIN(RADIANS(Targets_DW[[#This Row],[TWA (deg)]]+Targets_DW[[#This Row],[LEEWAY (deg)]]))/Targets_DW[[#This Row],[AWSTop]]))</f>
        <v>#ERROR!</v>
      </c>
      <c r="AE41" s="5" t="str">
        <f>Targets_DW[[#This Row],[AWA+Leeway Top]]-Targets_DW[[#This Row],[ROT (deg)]]</f>
        <v>#ERROR!</v>
      </c>
      <c r="AF41" s="5" t="str">
        <f>Targets_DW[[#This Row],[CLEW (deg)]]+Targets_DW[[#This Row],[TWIST (deg)]]</f>
        <v>#ERROR!</v>
      </c>
      <c r="AG41" s="6" t="str">
        <f>Targets_DW[[#This Row],[AWA+Leeway Top]]-Targets_DW[[#This Row],[CA6]]</f>
        <v>#ERROR!</v>
      </c>
      <c r="AH41" s="7" t="str">
        <f>Targets_DW[[#This Row],[AWA+Leeway]]-Targets_DW[[#This Row],[JibLead (deg)]]</f>
        <v>#ERROR!</v>
      </c>
    </row>
    <row r="42" ht="14.25" customHeight="1">
      <c r="A42" s="8" t="s">
        <v>34</v>
      </c>
      <c r="B42" s="9" t="s">
        <v>38</v>
      </c>
      <c r="C42" s="9" t="s">
        <v>37</v>
      </c>
      <c r="D42" s="9">
        <v>24.0</v>
      </c>
      <c r="E42" s="9" t="str">
        <f t="shared" si="1"/>
        <v>Foiling_LAB2_LARW2-24m</v>
      </c>
      <c r="F42" s="9">
        <v>16.0</v>
      </c>
      <c r="G42" s="7" t="str">
        <f>ABS(Targets_DW[[#This Row],[BSP (km/h)]]*COS(RADIANS(Targets_DW[[#This Row],[TWA (deg)]]+Targets_DW[[#This Row],[LEEWAY (deg)]])))</f>
        <v>#ERROR!</v>
      </c>
      <c r="H42" s="7">
        <v>51.0</v>
      </c>
      <c r="I42" s="7">
        <v>133.0</v>
      </c>
      <c r="J42" s="7">
        <v>0.65</v>
      </c>
      <c r="K42" s="7">
        <v>4.0</v>
      </c>
      <c r="L42" s="7">
        <v>1.1</v>
      </c>
      <c r="M42" s="7" t="str">
        <f>Targets_DW[[#This Row],[CANT (deg)]]-Targets_DW[[#This Row],[HEEL (deg)]]</f>
        <v>#ERROR!</v>
      </c>
      <c r="N42" s="7">
        <v>1330.0</v>
      </c>
      <c r="O42" s="7">
        <v>0.57</v>
      </c>
      <c r="P42" s="7">
        <v>2.82</v>
      </c>
      <c r="Q42" s="7">
        <v>-3.0</v>
      </c>
      <c r="R42" s="7">
        <v>-25.0</v>
      </c>
      <c r="S42" s="7" t="str">
        <f>Targets_DW[[#This Row],[CLEW (deg)]]-0.5*Targets_DW[[#This Row],[CA1 (deg)]]</f>
        <v>#ERROR!</v>
      </c>
      <c r="T42" s="7">
        <v>-1.2</v>
      </c>
      <c r="U42" s="7">
        <v>14.5</v>
      </c>
      <c r="V42" s="7">
        <v>375.0</v>
      </c>
      <c r="W42" s="7">
        <v>6.5</v>
      </c>
      <c r="X42" s="7">
        <v>600.0</v>
      </c>
      <c r="Y42" s="7" t="str">
        <f>SQRT(Targets_DW[[#This Row],[TWS (km/h)]]^2+Targets_DW[[#This Row],[BSP (km/h)]]^2+2*Targets_DW[[#This Row],[TWS (km/h)]]*Targets_DW[[#This Row],[BSP (km/h)]]*COS(RADIANS(Targets_DW[[#This Row],[TWA (deg)]]+Targets_DW[[#This Row],[LEEWAY (deg)]])))</f>
        <v>#ERROR!</v>
      </c>
      <c r="Z42" s="7" t="str">
        <f>DEGREES(ASIN(Targets_DW[[#This Row],[TWS (km/h)]]*SIN(RADIANS(Targets_DW[[#This Row],[TWA (deg)]]+Targets_DW[[#This Row],[LEEWAY (deg)]]))/Targets_DW[[#This Row],[AWS]]))</f>
        <v>#ERROR!</v>
      </c>
      <c r="AA42" s="7" t="str">
        <f>Targets_DW[[#This Row],[AWA+Leeway]]-Targets_DW[[#This Row],[ROT (deg)]]</f>
        <v>#ERROR!</v>
      </c>
      <c r="AB42" s="7" t="str">
        <f>Targets_DW[[#This Row],[TWS (km/h)]]*(Targets_DW[[#This Row],[Wing]]/10)^0.1</f>
        <v>#ERROR!</v>
      </c>
      <c r="AC42" s="7" t="str">
        <f>SQRT(Targets_DW[[#This Row],[TWSTop]]^2+Targets_DW[[#This Row],[BSP (km/h)]]^2+2*Targets_DW[[#This Row],[BSP (km/h)]]*Targets_DW[[#This Row],[TWSTop]]*COS(RADIANS(Targets_DW[[#This Row],[TWA (deg)]]+Targets_DW[[#This Row],[LEEWAY (deg)]])))</f>
        <v>#ERROR!</v>
      </c>
      <c r="AD42" s="7" t="str">
        <f>DEGREES(ASIN(Targets_DW[[#This Row],[TWSTop]]*SIN(RADIANS(Targets_DW[[#This Row],[TWA (deg)]]+Targets_DW[[#This Row],[LEEWAY (deg)]]))/Targets_DW[[#This Row],[AWSTop]]))</f>
        <v>#ERROR!</v>
      </c>
      <c r="AE42" s="7" t="str">
        <f>Targets_DW[[#This Row],[AWA+Leeway Top]]-Targets_DW[[#This Row],[ROT (deg)]]</f>
        <v>#ERROR!</v>
      </c>
      <c r="AF42" s="7" t="str">
        <f>Targets_DW[[#This Row],[CLEW (deg)]]+Targets_DW[[#This Row],[TWIST (deg)]]</f>
        <v>#ERROR!</v>
      </c>
      <c r="AG42" s="10" t="str">
        <f>Targets_DW[[#This Row],[AWA+Leeway Top]]-Targets_DW[[#This Row],[CA6]]</f>
        <v>#ERROR!</v>
      </c>
      <c r="AH42" s="7" t="str">
        <f>Targets_DW[[#This Row],[AWA+Leeway]]-Targets_DW[[#This Row],[JibLead (deg)]]</f>
        <v>#ERROR!</v>
      </c>
    </row>
    <row r="43" ht="14.25" customHeight="1">
      <c r="A43" s="8" t="s">
        <v>34</v>
      </c>
      <c r="B43" s="9" t="s">
        <v>38</v>
      </c>
      <c r="C43" s="9" t="s">
        <v>37</v>
      </c>
      <c r="D43" s="9">
        <v>24.0</v>
      </c>
      <c r="E43" s="9" t="str">
        <f t="shared" si="1"/>
        <v>Foiling_LAB2_LARW2-24m</v>
      </c>
      <c r="F43" s="9">
        <v>18.0</v>
      </c>
      <c r="G43" s="7" t="str">
        <f>ABS(Targets_DW[[#This Row],[BSP (km/h)]]*COS(RADIANS(Targets_DW[[#This Row],[TWA (deg)]]+Targets_DW[[#This Row],[LEEWAY (deg)]])))</f>
        <v>#ERROR!</v>
      </c>
      <c r="H43" s="7">
        <v>52.5</v>
      </c>
      <c r="I43" s="7">
        <v>135.0</v>
      </c>
      <c r="J43" s="7">
        <v>0.55</v>
      </c>
      <c r="K43" s="7">
        <v>3.5</v>
      </c>
      <c r="L43" s="7">
        <v>0.95</v>
      </c>
      <c r="M43" s="7" t="str">
        <f>Targets_DW[[#This Row],[CANT (deg)]]-Targets_DW[[#This Row],[HEEL (deg)]]</f>
        <v>#ERROR!</v>
      </c>
      <c r="N43" s="7">
        <v>1350.0</v>
      </c>
      <c r="O43" s="7">
        <v>0.38</v>
      </c>
      <c r="P43" s="7">
        <v>2.8</v>
      </c>
      <c r="Q43" s="7">
        <v>-3.0</v>
      </c>
      <c r="R43" s="7">
        <v>-24.5</v>
      </c>
      <c r="S43" s="7" t="str">
        <f>Targets_DW[[#This Row],[CLEW (deg)]]-0.5*Targets_DW[[#This Row],[CA1 (deg)]]</f>
        <v>#ERROR!</v>
      </c>
      <c r="T43" s="7">
        <v>-0.5</v>
      </c>
      <c r="U43" s="7">
        <v>15.5</v>
      </c>
      <c r="V43" s="7">
        <v>375.0</v>
      </c>
      <c r="W43" s="7">
        <v>7.2</v>
      </c>
      <c r="X43" s="7">
        <v>600.0</v>
      </c>
      <c r="Y43" s="7" t="str">
        <f>SQRT(Targets_DW[[#This Row],[TWS (km/h)]]^2+Targets_DW[[#This Row],[BSP (km/h)]]^2+2*Targets_DW[[#This Row],[TWS (km/h)]]*Targets_DW[[#This Row],[BSP (km/h)]]*COS(RADIANS(Targets_DW[[#This Row],[TWA (deg)]]+Targets_DW[[#This Row],[LEEWAY (deg)]])))</f>
        <v>#ERROR!</v>
      </c>
      <c r="Z43" s="7" t="str">
        <f>DEGREES(ASIN(Targets_DW[[#This Row],[TWS (km/h)]]*SIN(RADIANS(Targets_DW[[#This Row],[TWA (deg)]]+Targets_DW[[#This Row],[LEEWAY (deg)]]))/Targets_DW[[#This Row],[AWS]]))</f>
        <v>#ERROR!</v>
      </c>
      <c r="AA43" s="7" t="str">
        <f>Targets_DW[[#This Row],[AWA+Leeway]]-Targets_DW[[#This Row],[ROT (deg)]]</f>
        <v>#ERROR!</v>
      </c>
      <c r="AB43" s="7" t="str">
        <f>Targets_DW[[#This Row],[TWS (km/h)]]*(Targets_DW[[#This Row],[Wing]]/10)^0.1</f>
        <v>#ERROR!</v>
      </c>
      <c r="AC43" s="7" t="str">
        <f>SQRT(Targets_DW[[#This Row],[TWSTop]]^2+Targets_DW[[#This Row],[BSP (km/h)]]^2+2*Targets_DW[[#This Row],[BSP (km/h)]]*Targets_DW[[#This Row],[TWSTop]]*COS(RADIANS(Targets_DW[[#This Row],[TWA (deg)]]+Targets_DW[[#This Row],[LEEWAY (deg)]])))</f>
        <v>#ERROR!</v>
      </c>
      <c r="AD43" s="7" t="str">
        <f>DEGREES(ASIN(Targets_DW[[#This Row],[TWSTop]]*SIN(RADIANS(Targets_DW[[#This Row],[TWA (deg)]]+Targets_DW[[#This Row],[LEEWAY (deg)]]))/Targets_DW[[#This Row],[AWSTop]]))</f>
        <v>#ERROR!</v>
      </c>
      <c r="AE43" s="7" t="str">
        <f>Targets_DW[[#This Row],[AWA+Leeway Top]]-Targets_DW[[#This Row],[ROT (deg)]]</f>
        <v>#ERROR!</v>
      </c>
      <c r="AF43" s="7" t="str">
        <f>Targets_DW[[#This Row],[CLEW (deg)]]+Targets_DW[[#This Row],[TWIST (deg)]]</f>
        <v>#ERROR!</v>
      </c>
      <c r="AG43" s="10" t="str">
        <f>Targets_DW[[#This Row],[AWA+Leeway Top]]-Targets_DW[[#This Row],[CA6]]</f>
        <v>#ERROR!</v>
      </c>
      <c r="AH43" s="7" t="str">
        <f>Targets_DW[[#This Row],[AWA+Leeway]]-Targets_DW[[#This Row],[JibLead (deg)]]</f>
        <v>#ERROR!</v>
      </c>
    </row>
    <row r="44" ht="14.25" customHeight="1">
      <c r="A44" s="8" t="s">
        <v>34</v>
      </c>
      <c r="B44" s="9" t="s">
        <v>38</v>
      </c>
      <c r="C44" s="9" t="s">
        <v>37</v>
      </c>
      <c r="D44" s="9">
        <v>24.0</v>
      </c>
      <c r="E44" s="9" t="str">
        <f t="shared" si="1"/>
        <v>Foiling_LAB2_LARW2-24m</v>
      </c>
      <c r="F44" s="9">
        <v>20.0</v>
      </c>
      <c r="G44" s="7" t="str">
        <f>ABS(Targets_DW[[#This Row],[BSP (km/h)]]*COS(RADIANS(Targets_DW[[#This Row],[TWA (deg)]]+Targets_DW[[#This Row],[LEEWAY (deg)]])))</f>
        <v>#ERROR!</v>
      </c>
      <c r="H44" s="7">
        <v>55.0</v>
      </c>
      <c r="I44" s="7">
        <v>137.0</v>
      </c>
      <c r="J44" s="7">
        <v>0.5</v>
      </c>
      <c r="K44" s="7">
        <v>2.3</v>
      </c>
      <c r="L44" s="7">
        <v>0.8</v>
      </c>
      <c r="M44" s="7" t="str">
        <f>Targets_DW[[#This Row],[CANT (deg)]]-Targets_DW[[#This Row],[HEEL (deg)]]</f>
        <v>#ERROR!</v>
      </c>
      <c r="N44" s="7">
        <v>1360.0</v>
      </c>
      <c r="O44" s="7">
        <v>0.05</v>
      </c>
      <c r="P44" s="7">
        <v>2.78</v>
      </c>
      <c r="Q44" s="7">
        <v>-3.0</v>
      </c>
      <c r="R44" s="7">
        <v>-24.0</v>
      </c>
      <c r="S44" s="7" t="str">
        <f>Targets_DW[[#This Row],[CLEW (deg)]]-0.5*Targets_DW[[#This Row],[CA1 (deg)]]</f>
        <v>#ERROR!</v>
      </c>
      <c r="T44" s="7">
        <v>0.1</v>
      </c>
      <c r="U44" s="7">
        <v>15.8</v>
      </c>
      <c r="V44" s="7">
        <v>390.0</v>
      </c>
      <c r="W44" s="7">
        <v>7.7</v>
      </c>
      <c r="X44" s="7">
        <v>650.0</v>
      </c>
      <c r="Y44" s="7" t="str">
        <f>SQRT(Targets_DW[[#This Row],[TWS (km/h)]]^2+Targets_DW[[#This Row],[BSP (km/h)]]^2+2*Targets_DW[[#This Row],[TWS (km/h)]]*Targets_DW[[#This Row],[BSP (km/h)]]*COS(RADIANS(Targets_DW[[#This Row],[TWA (deg)]]+Targets_DW[[#This Row],[LEEWAY (deg)]])))</f>
        <v>#ERROR!</v>
      </c>
      <c r="Z44" s="7" t="str">
        <f>DEGREES(ASIN(Targets_DW[[#This Row],[TWS (km/h)]]*SIN(RADIANS(Targets_DW[[#This Row],[TWA (deg)]]+Targets_DW[[#This Row],[LEEWAY (deg)]]))/Targets_DW[[#This Row],[AWS]]))</f>
        <v>#ERROR!</v>
      </c>
      <c r="AA44" s="7" t="str">
        <f>Targets_DW[[#This Row],[AWA+Leeway]]-Targets_DW[[#This Row],[ROT (deg)]]</f>
        <v>#ERROR!</v>
      </c>
      <c r="AB44" s="7" t="str">
        <f>Targets_DW[[#This Row],[TWS (km/h)]]*(Targets_DW[[#This Row],[Wing]]/10)^0.1</f>
        <v>#ERROR!</v>
      </c>
      <c r="AC44" s="7" t="str">
        <f>SQRT(Targets_DW[[#This Row],[TWSTop]]^2+Targets_DW[[#This Row],[BSP (km/h)]]^2+2*Targets_DW[[#This Row],[BSP (km/h)]]*Targets_DW[[#This Row],[TWSTop]]*COS(RADIANS(Targets_DW[[#This Row],[TWA (deg)]]+Targets_DW[[#This Row],[LEEWAY (deg)]])))</f>
        <v>#ERROR!</v>
      </c>
      <c r="AD44" s="7" t="str">
        <f>DEGREES(ASIN(Targets_DW[[#This Row],[TWSTop]]*SIN(RADIANS(Targets_DW[[#This Row],[TWA (deg)]]+Targets_DW[[#This Row],[LEEWAY (deg)]]))/Targets_DW[[#This Row],[AWSTop]]))</f>
        <v>#ERROR!</v>
      </c>
      <c r="AE44" s="7" t="str">
        <f>Targets_DW[[#This Row],[AWA+Leeway Top]]-Targets_DW[[#This Row],[ROT (deg)]]</f>
        <v>#ERROR!</v>
      </c>
      <c r="AF44" s="7" t="str">
        <f>Targets_DW[[#This Row],[CLEW (deg)]]+Targets_DW[[#This Row],[TWIST (deg)]]</f>
        <v>#ERROR!</v>
      </c>
      <c r="AG44" s="10" t="str">
        <f>Targets_DW[[#This Row],[AWA+Leeway Top]]-Targets_DW[[#This Row],[CA6]]</f>
        <v>#ERROR!</v>
      </c>
      <c r="AH44" s="7" t="str">
        <f>Targets_DW[[#This Row],[AWA+Leeway]]-Targets_DW[[#This Row],[JibLead (deg)]]</f>
        <v>#ERROR!</v>
      </c>
    </row>
    <row r="45" ht="14.25" customHeight="1">
      <c r="A45" s="8" t="s">
        <v>34</v>
      </c>
      <c r="B45" s="9" t="s">
        <v>38</v>
      </c>
      <c r="C45" s="9" t="s">
        <v>37</v>
      </c>
      <c r="D45" s="9">
        <v>24.0</v>
      </c>
      <c r="E45" s="9" t="str">
        <f t="shared" si="1"/>
        <v>Foiling_LAB2_LARW2-24m</v>
      </c>
      <c r="F45" s="9">
        <v>22.0</v>
      </c>
      <c r="G45" s="7" t="str">
        <f>ABS(Targets_DW[[#This Row],[BSP (km/h)]]*COS(RADIANS(Targets_DW[[#This Row],[TWA (deg)]]+Targets_DW[[#This Row],[LEEWAY (deg)]])))</f>
        <v>#ERROR!</v>
      </c>
      <c r="H45" s="7">
        <v>60.0</v>
      </c>
      <c r="I45" s="7">
        <v>138.5</v>
      </c>
      <c r="J45" s="7">
        <v>0.4</v>
      </c>
      <c r="K45" s="7">
        <v>0.20000000000000018</v>
      </c>
      <c r="L45" s="7">
        <v>0.6</v>
      </c>
      <c r="M45" s="7" t="str">
        <f>Targets_DW[[#This Row],[CANT (deg)]]-Targets_DW[[#This Row],[HEEL (deg)]]</f>
        <v>#ERROR!</v>
      </c>
      <c r="N45" s="7">
        <v>1350.0</v>
      </c>
      <c r="O45" s="7">
        <v>0.0</v>
      </c>
      <c r="P45" s="7">
        <v>2.7</v>
      </c>
      <c r="Q45" s="7">
        <v>-3.0</v>
      </c>
      <c r="R45" s="7">
        <v>-23.0</v>
      </c>
      <c r="S45" s="7" t="str">
        <f>Targets_DW[[#This Row],[CLEW (deg)]]-0.5*Targets_DW[[#This Row],[CA1 (deg)]]</f>
        <v>#ERROR!</v>
      </c>
      <c r="T45" s="7">
        <v>0.6</v>
      </c>
      <c r="U45" s="7">
        <v>15.5</v>
      </c>
      <c r="V45" s="7">
        <v>500.0</v>
      </c>
      <c r="W45" s="7">
        <v>7.8</v>
      </c>
      <c r="X45" s="7">
        <v>820.0</v>
      </c>
      <c r="Y45" s="7" t="str">
        <f>SQRT(Targets_DW[[#This Row],[TWS (km/h)]]^2+Targets_DW[[#This Row],[BSP (km/h)]]^2+2*Targets_DW[[#This Row],[TWS (km/h)]]*Targets_DW[[#This Row],[BSP (km/h)]]*COS(RADIANS(Targets_DW[[#This Row],[TWA (deg)]]+Targets_DW[[#This Row],[LEEWAY (deg)]])))</f>
        <v>#ERROR!</v>
      </c>
      <c r="Z45" s="7" t="str">
        <f>DEGREES(ASIN(Targets_DW[[#This Row],[TWS (km/h)]]*SIN(RADIANS(Targets_DW[[#This Row],[TWA (deg)]]+Targets_DW[[#This Row],[LEEWAY (deg)]]))/Targets_DW[[#This Row],[AWS]]))</f>
        <v>#ERROR!</v>
      </c>
      <c r="AA45" s="7" t="str">
        <f>Targets_DW[[#This Row],[AWA+Leeway]]-Targets_DW[[#This Row],[ROT (deg)]]</f>
        <v>#ERROR!</v>
      </c>
      <c r="AB45" s="7" t="str">
        <f>Targets_DW[[#This Row],[TWS (km/h)]]*(Targets_DW[[#This Row],[Wing]]/10)^0.1</f>
        <v>#ERROR!</v>
      </c>
      <c r="AC45" s="7" t="str">
        <f>SQRT(Targets_DW[[#This Row],[TWSTop]]^2+Targets_DW[[#This Row],[BSP (km/h)]]^2+2*Targets_DW[[#This Row],[BSP (km/h)]]*Targets_DW[[#This Row],[TWSTop]]*COS(RADIANS(Targets_DW[[#This Row],[TWA (deg)]]+Targets_DW[[#This Row],[LEEWAY (deg)]])))</f>
        <v>#ERROR!</v>
      </c>
      <c r="AD45" s="7" t="str">
        <f>DEGREES(ASIN(Targets_DW[[#This Row],[TWSTop]]*SIN(RADIANS(Targets_DW[[#This Row],[TWA (deg)]]+Targets_DW[[#This Row],[LEEWAY (deg)]]))/Targets_DW[[#This Row],[AWSTop]]))</f>
        <v>#ERROR!</v>
      </c>
      <c r="AE45" s="7" t="str">
        <f>Targets_DW[[#This Row],[AWA+Leeway Top]]-Targets_DW[[#This Row],[ROT (deg)]]</f>
        <v>#ERROR!</v>
      </c>
      <c r="AF45" s="7" t="str">
        <f>Targets_DW[[#This Row],[CLEW (deg)]]+Targets_DW[[#This Row],[TWIST (deg)]]</f>
        <v>#ERROR!</v>
      </c>
      <c r="AG45" s="10" t="str">
        <f>Targets_DW[[#This Row],[AWA+Leeway Top]]-Targets_DW[[#This Row],[CA6]]</f>
        <v>#ERROR!</v>
      </c>
      <c r="AH45" s="7" t="str">
        <f>Targets_DW[[#This Row],[AWA+Leeway]]-Targets_DW[[#This Row],[JibLead (deg)]]</f>
        <v>#ERROR!</v>
      </c>
    </row>
    <row r="46" ht="14.25" customHeight="1">
      <c r="A46" s="8" t="s">
        <v>34</v>
      </c>
      <c r="B46" s="9" t="s">
        <v>38</v>
      </c>
      <c r="C46" s="9" t="s">
        <v>37</v>
      </c>
      <c r="D46" s="9">
        <v>24.0</v>
      </c>
      <c r="E46" s="9" t="str">
        <f t="shared" si="1"/>
        <v>Foiling_LAB2_LARW2-24m</v>
      </c>
      <c r="F46" s="9">
        <v>24.0</v>
      </c>
      <c r="G46" s="7" t="str">
        <f>ABS(Targets_DW[[#This Row],[BSP (km/h)]]*COS(RADIANS(Targets_DW[[#This Row],[TWA (deg)]]+Targets_DW[[#This Row],[LEEWAY (deg)]])))</f>
        <v>#ERROR!</v>
      </c>
      <c r="H46" s="7">
        <v>64.5</v>
      </c>
      <c r="I46" s="7">
        <v>141.0</v>
      </c>
      <c r="J46" s="7">
        <v>0.3</v>
      </c>
      <c r="K46" s="7">
        <v>-1.5</v>
      </c>
      <c r="L46" s="7">
        <v>0.4</v>
      </c>
      <c r="M46" s="7" t="str">
        <f>Targets_DW[[#This Row],[CANT (deg)]]-Targets_DW[[#This Row],[HEEL (deg)]]</f>
        <v>#ERROR!</v>
      </c>
      <c r="N46" s="7">
        <v>1325.0</v>
      </c>
      <c r="O46" s="7">
        <v>0.0</v>
      </c>
      <c r="P46" s="7">
        <v>2.55</v>
      </c>
      <c r="Q46" s="7">
        <v>-3.0</v>
      </c>
      <c r="R46" s="7">
        <v>-22.6</v>
      </c>
      <c r="S46" s="7" t="str">
        <f>Targets_DW[[#This Row],[CLEW (deg)]]-0.5*Targets_DW[[#This Row],[CA1 (deg)]]</f>
        <v>#ERROR!</v>
      </c>
      <c r="T46" s="7">
        <v>1.1</v>
      </c>
      <c r="U46" s="7">
        <v>15.0</v>
      </c>
      <c r="V46" s="7">
        <v>580.0</v>
      </c>
      <c r="W46" s="7">
        <v>7.8</v>
      </c>
      <c r="X46" s="7"/>
      <c r="Y46" s="7" t="str">
        <f>SQRT(Targets_DW[[#This Row],[TWS (km/h)]]^2+Targets_DW[[#This Row],[BSP (km/h)]]^2+2*Targets_DW[[#This Row],[TWS (km/h)]]*Targets_DW[[#This Row],[BSP (km/h)]]*COS(RADIANS(Targets_DW[[#This Row],[TWA (deg)]]+Targets_DW[[#This Row],[LEEWAY (deg)]])))</f>
        <v>#ERROR!</v>
      </c>
      <c r="Z46" s="7" t="str">
        <f>DEGREES(ASIN(Targets_DW[[#This Row],[TWS (km/h)]]*SIN(RADIANS(Targets_DW[[#This Row],[TWA (deg)]]+Targets_DW[[#This Row],[LEEWAY (deg)]]))/Targets_DW[[#This Row],[AWS]]))</f>
        <v>#ERROR!</v>
      </c>
      <c r="AA46" s="7" t="str">
        <f>Targets_DW[[#This Row],[AWA+Leeway]]-Targets_DW[[#This Row],[ROT (deg)]]</f>
        <v>#ERROR!</v>
      </c>
      <c r="AB46" s="7" t="str">
        <f>Targets_DW[[#This Row],[TWS (km/h)]]*(Targets_DW[[#This Row],[Wing]]/10)^0.1</f>
        <v>#ERROR!</v>
      </c>
      <c r="AC46" s="7" t="str">
        <f>SQRT(Targets_DW[[#This Row],[TWSTop]]^2+Targets_DW[[#This Row],[BSP (km/h)]]^2+2*Targets_DW[[#This Row],[BSP (km/h)]]*Targets_DW[[#This Row],[TWSTop]]*COS(RADIANS(Targets_DW[[#This Row],[TWA (deg)]]+Targets_DW[[#This Row],[LEEWAY (deg)]])))</f>
        <v>#ERROR!</v>
      </c>
      <c r="AD46" s="7" t="str">
        <f>DEGREES(ASIN(Targets_DW[[#This Row],[TWSTop]]*SIN(RADIANS(Targets_DW[[#This Row],[TWA (deg)]]+Targets_DW[[#This Row],[LEEWAY (deg)]]))/Targets_DW[[#This Row],[AWSTop]]))</f>
        <v>#ERROR!</v>
      </c>
      <c r="AE46" s="7" t="str">
        <f>Targets_DW[[#This Row],[AWA+Leeway Top]]-Targets_DW[[#This Row],[ROT (deg)]]</f>
        <v>#ERROR!</v>
      </c>
      <c r="AF46" s="7" t="str">
        <f>Targets_DW[[#This Row],[CLEW (deg)]]+Targets_DW[[#This Row],[TWIST (deg)]]</f>
        <v>#ERROR!</v>
      </c>
      <c r="AG46" s="10" t="str">
        <f>Targets_DW[[#This Row],[AWA+Leeway Top]]-Targets_DW[[#This Row],[CA6]]</f>
        <v>#ERROR!</v>
      </c>
      <c r="AH46" s="7" t="str">
        <f>Targets_DW[[#This Row],[AWA+Leeway]]-Targets_DW[[#This Row],[JibLead (deg)]]</f>
        <v>#ERROR!</v>
      </c>
    </row>
    <row r="47" ht="14.25" customHeight="1">
      <c r="A47" s="8" t="s">
        <v>34</v>
      </c>
      <c r="B47" s="9" t="s">
        <v>38</v>
      </c>
      <c r="C47" s="9" t="s">
        <v>37</v>
      </c>
      <c r="D47" s="9">
        <v>24.0</v>
      </c>
      <c r="E47" s="9" t="str">
        <f t="shared" si="1"/>
        <v>Foiling_LAB2_LARW2-24m</v>
      </c>
      <c r="F47" s="9">
        <v>26.0</v>
      </c>
      <c r="G47" s="7" t="str">
        <f>ABS(Targets_DW[[#This Row],[BSP (km/h)]]*COS(RADIANS(Targets_DW[[#This Row],[TWA (deg)]]+Targets_DW[[#This Row],[LEEWAY (deg)]])))</f>
        <v>#ERROR!</v>
      </c>
      <c r="H47" s="7">
        <v>69.0</v>
      </c>
      <c r="I47" s="7">
        <v>143.0</v>
      </c>
      <c r="J47" s="7">
        <v>0.2</v>
      </c>
      <c r="K47" s="7">
        <v>-3.1</v>
      </c>
      <c r="L47" s="7">
        <v>0.2</v>
      </c>
      <c r="M47" s="7" t="str">
        <f>Targets_DW[[#This Row],[CANT (deg)]]-Targets_DW[[#This Row],[HEEL (deg)]]</f>
        <v>#ERROR!</v>
      </c>
      <c r="N47" s="7">
        <v>1300.0</v>
      </c>
      <c r="O47" s="7">
        <v>0.0</v>
      </c>
      <c r="P47" s="7">
        <v>2.4</v>
      </c>
      <c r="Q47" s="7">
        <v>-3.0</v>
      </c>
      <c r="R47" s="7">
        <v>-22.3</v>
      </c>
      <c r="S47" s="7" t="str">
        <f>Targets_DW[[#This Row],[CLEW (deg)]]-0.5*Targets_DW[[#This Row],[CA1 (deg)]]</f>
        <v>#ERROR!</v>
      </c>
      <c r="T47" s="7">
        <v>1.6</v>
      </c>
      <c r="U47" s="7">
        <v>14.5</v>
      </c>
      <c r="V47" s="7">
        <v>650.0</v>
      </c>
      <c r="W47" s="7">
        <v>7.9</v>
      </c>
      <c r="X47" s="7"/>
      <c r="Y47" s="7" t="str">
        <f>SQRT(Targets_DW[[#This Row],[TWS (km/h)]]^2+Targets_DW[[#This Row],[BSP (km/h)]]^2+2*Targets_DW[[#This Row],[TWS (km/h)]]*Targets_DW[[#This Row],[BSP (km/h)]]*COS(RADIANS(Targets_DW[[#This Row],[TWA (deg)]]+Targets_DW[[#This Row],[LEEWAY (deg)]])))</f>
        <v>#ERROR!</v>
      </c>
      <c r="Z47" s="7" t="str">
        <f>DEGREES(ASIN(Targets_DW[[#This Row],[TWS (km/h)]]*SIN(RADIANS(Targets_DW[[#This Row],[TWA (deg)]]+Targets_DW[[#This Row],[LEEWAY (deg)]]))/Targets_DW[[#This Row],[AWS]]))</f>
        <v>#ERROR!</v>
      </c>
      <c r="AA47" s="7" t="str">
        <f>Targets_DW[[#This Row],[AWA+Leeway]]-Targets_DW[[#This Row],[ROT (deg)]]</f>
        <v>#ERROR!</v>
      </c>
      <c r="AB47" s="7" t="str">
        <f>Targets_DW[[#This Row],[TWS (km/h)]]*(Targets_DW[[#This Row],[Wing]]/10)^0.1</f>
        <v>#ERROR!</v>
      </c>
      <c r="AC47" s="7" t="str">
        <f>SQRT(Targets_DW[[#This Row],[TWSTop]]^2+Targets_DW[[#This Row],[BSP (km/h)]]^2+2*Targets_DW[[#This Row],[BSP (km/h)]]*Targets_DW[[#This Row],[TWSTop]]*COS(RADIANS(Targets_DW[[#This Row],[TWA (deg)]]+Targets_DW[[#This Row],[LEEWAY (deg)]])))</f>
        <v>#ERROR!</v>
      </c>
      <c r="AD47" s="7" t="str">
        <f>DEGREES(ASIN(Targets_DW[[#This Row],[TWSTop]]*SIN(RADIANS(Targets_DW[[#This Row],[TWA (deg)]]+Targets_DW[[#This Row],[LEEWAY (deg)]]))/Targets_DW[[#This Row],[AWSTop]]))</f>
        <v>#ERROR!</v>
      </c>
      <c r="AE47" s="7" t="str">
        <f>Targets_DW[[#This Row],[AWA+Leeway Top]]-Targets_DW[[#This Row],[ROT (deg)]]</f>
        <v>#ERROR!</v>
      </c>
      <c r="AF47" s="7" t="str">
        <f>Targets_DW[[#This Row],[CLEW (deg)]]+Targets_DW[[#This Row],[TWIST (deg)]]</f>
        <v>#ERROR!</v>
      </c>
      <c r="AG47" s="10" t="str">
        <f>Targets_DW[[#This Row],[AWA+Leeway Top]]-Targets_DW[[#This Row],[CA6]]</f>
        <v>#ERROR!</v>
      </c>
      <c r="AH47" s="7" t="str">
        <f>Targets_DW[[#This Row],[AWA+Leeway]]-Targets_DW[[#This Row],[JibLead (deg)]]</f>
        <v>#ERROR!</v>
      </c>
    </row>
    <row r="48" ht="14.25" customHeight="1">
      <c r="A48" s="11" t="s">
        <v>34</v>
      </c>
      <c r="B48" s="12" t="s">
        <v>38</v>
      </c>
      <c r="C48" s="12" t="s">
        <v>37</v>
      </c>
      <c r="D48" s="12">
        <v>24.0</v>
      </c>
      <c r="E48" s="12" t="str">
        <f t="shared" si="1"/>
        <v>Foiling_LAB2_LARW2-24m</v>
      </c>
      <c r="F48" s="12">
        <v>28.0</v>
      </c>
      <c r="G48" s="13" t="str">
        <f>ABS(Targets_DW[[#This Row],[BSP (km/h)]]*COS(RADIANS(Targets_DW[[#This Row],[TWA (deg)]]+Targets_DW[[#This Row],[LEEWAY (deg)]])))</f>
        <v>#ERROR!</v>
      </c>
      <c r="H48" s="13">
        <v>73.0</v>
      </c>
      <c r="I48" s="13">
        <v>144.5</v>
      </c>
      <c r="J48" s="13">
        <v>0.2</v>
      </c>
      <c r="K48" s="13">
        <v>-4.3</v>
      </c>
      <c r="L48" s="13">
        <v>0.0</v>
      </c>
      <c r="M48" s="13" t="str">
        <f>Targets_DW[[#This Row],[CANT (deg)]]-Targets_DW[[#This Row],[HEEL (deg)]]</f>
        <v>#ERROR!</v>
      </c>
      <c r="N48" s="13">
        <v>1275.0</v>
      </c>
      <c r="O48" s="13">
        <v>0.0</v>
      </c>
      <c r="P48" s="13">
        <v>2.3</v>
      </c>
      <c r="Q48" s="13">
        <v>-3.0</v>
      </c>
      <c r="R48" s="13">
        <v>-22.0</v>
      </c>
      <c r="S48" s="13" t="str">
        <f>Targets_DW[[#This Row],[CLEW (deg)]]-0.5*Targets_DW[[#This Row],[CA1 (deg)]]</f>
        <v>#ERROR!</v>
      </c>
      <c r="T48" s="13">
        <v>2.0</v>
      </c>
      <c r="U48" s="13">
        <v>14.0</v>
      </c>
      <c r="V48" s="13">
        <v>720.0</v>
      </c>
      <c r="W48" s="13">
        <v>8.0</v>
      </c>
      <c r="X48" s="13"/>
      <c r="Y48" s="13" t="str">
        <f>SQRT(Targets_DW[[#This Row],[TWS (km/h)]]^2+Targets_DW[[#This Row],[BSP (km/h)]]^2+2*Targets_DW[[#This Row],[TWS (km/h)]]*Targets_DW[[#This Row],[BSP (km/h)]]*COS(RADIANS(Targets_DW[[#This Row],[TWA (deg)]]+Targets_DW[[#This Row],[LEEWAY (deg)]])))</f>
        <v>#ERROR!</v>
      </c>
      <c r="Z48" s="13" t="str">
        <f>DEGREES(ASIN(Targets_DW[[#This Row],[TWS (km/h)]]*SIN(RADIANS(Targets_DW[[#This Row],[TWA (deg)]]+Targets_DW[[#This Row],[LEEWAY (deg)]]))/Targets_DW[[#This Row],[AWS]]))</f>
        <v>#ERROR!</v>
      </c>
      <c r="AA48" s="13" t="str">
        <f>Targets_DW[[#This Row],[AWA+Leeway]]-Targets_DW[[#This Row],[ROT (deg)]]</f>
        <v>#ERROR!</v>
      </c>
      <c r="AB48" s="13" t="str">
        <f>Targets_DW[[#This Row],[TWS (km/h)]]*(Targets_DW[[#This Row],[Wing]]/10)^0.1</f>
        <v>#ERROR!</v>
      </c>
      <c r="AC48" s="13" t="str">
        <f>SQRT(Targets_DW[[#This Row],[TWSTop]]^2+Targets_DW[[#This Row],[BSP (km/h)]]^2+2*Targets_DW[[#This Row],[BSP (km/h)]]*Targets_DW[[#This Row],[TWSTop]]*COS(RADIANS(Targets_DW[[#This Row],[TWA (deg)]]+Targets_DW[[#This Row],[LEEWAY (deg)]])))</f>
        <v>#ERROR!</v>
      </c>
      <c r="AD48" s="13" t="str">
        <f>DEGREES(ASIN(Targets_DW[[#This Row],[TWSTop]]*SIN(RADIANS(Targets_DW[[#This Row],[TWA (deg)]]+Targets_DW[[#This Row],[LEEWAY (deg)]]))/Targets_DW[[#This Row],[AWSTop]]))</f>
        <v>#ERROR!</v>
      </c>
      <c r="AE48" s="13" t="str">
        <f>Targets_DW[[#This Row],[AWA+Leeway Top]]-Targets_DW[[#This Row],[ROT (deg)]]</f>
        <v>#ERROR!</v>
      </c>
      <c r="AF48" s="13" t="str">
        <f>Targets_DW[[#This Row],[CLEW (deg)]]+Targets_DW[[#This Row],[TWIST (deg)]]</f>
        <v>#ERROR!</v>
      </c>
      <c r="AG48" s="14" t="str">
        <f>Targets_DW[[#This Row],[AWA+Leeway Top]]-Targets_DW[[#This Row],[CA6]]</f>
        <v>#ERROR!</v>
      </c>
      <c r="AH48" s="7" t="str">
        <f>Targets_DW[[#This Row],[AWA+Leeway]]-Targets_DW[[#This Row],[JibLead (deg)]]</f>
        <v>#ERROR!</v>
      </c>
    </row>
    <row r="49" ht="14.25" customHeight="1">
      <c r="A49" s="3" t="s">
        <v>34</v>
      </c>
      <c r="B49" s="4" t="s">
        <v>38</v>
      </c>
      <c r="C49" s="4" t="s">
        <v>37</v>
      </c>
      <c r="D49" s="4">
        <v>27.5</v>
      </c>
      <c r="E49" s="4" t="str">
        <f t="shared" si="1"/>
        <v>Foiling_LAB2_LARW2-27.5m</v>
      </c>
      <c r="F49" s="4">
        <v>13.0</v>
      </c>
      <c r="G49" s="5" t="str">
        <f>ABS(Targets_DW[[#This Row],[BSP (km/h)]]*COS(RADIANS(Targets_DW[[#This Row],[TWA (deg)]]+Targets_DW[[#This Row],[LEEWAY (deg)]])))</f>
        <v>#ERROR!</v>
      </c>
      <c r="H49" s="5">
        <v>47.0</v>
      </c>
      <c r="I49" s="5">
        <v>130.0</v>
      </c>
      <c r="J49" s="5">
        <v>1.5</v>
      </c>
      <c r="K49" s="5">
        <v>4.5</v>
      </c>
      <c r="L49" s="5">
        <v>1.0</v>
      </c>
      <c r="M49" s="5" t="str">
        <f>Targets_DW[[#This Row],[CANT (deg)]]-Targets_DW[[#This Row],[HEEL (deg)]]</f>
        <v>#ERROR!</v>
      </c>
      <c r="N49" s="5">
        <v>1350.0</v>
      </c>
      <c r="O49" s="5">
        <v>0.0</v>
      </c>
      <c r="P49" s="5">
        <v>3.0</v>
      </c>
      <c r="Q49" s="5">
        <v>-3.0</v>
      </c>
      <c r="R49" s="5">
        <v>-24.0</v>
      </c>
      <c r="S49" s="5" t="str">
        <f>Targets_DW[[#This Row],[CLEW (deg)]]-0.5*Targets_DW[[#This Row],[CA1 (deg)]]</f>
        <v>#ERROR!</v>
      </c>
      <c r="T49" s="5">
        <v>0.0</v>
      </c>
      <c r="U49" s="5">
        <v>15.0</v>
      </c>
      <c r="V49" s="5">
        <v>570.0</v>
      </c>
      <c r="W49" s="5">
        <v>6.0</v>
      </c>
      <c r="X49" s="5">
        <v>1100.0</v>
      </c>
      <c r="Y49" s="5" t="str">
        <f>SQRT(Targets_DW[[#This Row],[TWS (km/h)]]^2+Targets_DW[[#This Row],[BSP (km/h)]]^2+2*Targets_DW[[#This Row],[TWS (km/h)]]*Targets_DW[[#This Row],[BSP (km/h)]]*COS(RADIANS(Targets_DW[[#This Row],[TWA (deg)]]+Targets_DW[[#This Row],[LEEWAY (deg)]])))</f>
        <v>#ERROR!</v>
      </c>
      <c r="Z49" s="5" t="str">
        <f>DEGREES(ASIN(Targets_DW[[#This Row],[TWS (km/h)]]*SIN(RADIANS(Targets_DW[[#This Row],[TWA (deg)]]+Targets_DW[[#This Row],[LEEWAY (deg)]]))/Targets_DW[[#This Row],[AWS]]))</f>
        <v>#ERROR!</v>
      </c>
      <c r="AA49" s="5" t="str">
        <f>Targets_DW[[#This Row],[AWA+Leeway]]-Targets_DW[[#This Row],[ROT (deg)]]</f>
        <v>#ERROR!</v>
      </c>
      <c r="AB49" s="5" t="str">
        <f>Targets_DW[[#This Row],[TWS (km/h)]]*(Targets_DW[[#This Row],[Wing]]/10)^0.1</f>
        <v>#ERROR!</v>
      </c>
      <c r="AC49" s="5" t="str">
        <f>SQRT(Targets_DW[[#This Row],[TWSTop]]^2+Targets_DW[[#This Row],[BSP (km/h)]]^2+2*Targets_DW[[#This Row],[BSP (km/h)]]*Targets_DW[[#This Row],[TWSTop]]*COS(RADIANS(Targets_DW[[#This Row],[TWA (deg)]]+Targets_DW[[#This Row],[LEEWAY (deg)]])))</f>
        <v>#ERROR!</v>
      </c>
      <c r="AD49" s="5" t="str">
        <f>DEGREES(ASIN(Targets_DW[[#This Row],[TWSTop]]*SIN(RADIANS(Targets_DW[[#This Row],[TWA (deg)]]+Targets_DW[[#This Row],[LEEWAY (deg)]]))/Targets_DW[[#This Row],[AWSTop]]))</f>
        <v>#ERROR!</v>
      </c>
      <c r="AE49" s="5" t="str">
        <f>Targets_DW[[#This Row],[AWA+Leeway Top]]-Targets_DW[[#This Row],[ROT (deg)]]</f>
        <v>#ERROR!</v>
      </c>
      <c r="AF49" s="5" t="str">
        <f>Targets_DW[[#This Row],[CLEW (deg)]]+Targets_DW[[#This Row],[TWIST (deg)]]</f>
        <v>#ERROR!</v>
      </c>
      <c r="AG49" s="6" t="str">
        <f>Targets_DW[[#This Row],[AWA+Leeway Top]]-Targets_DW[[#This Row],[CA6]]</f>
        <v>#ERROR!</v>
      </c>
      <c r="AH49" s="7" t="str">
        <f>Targets_DW[[#This Row],[AWA+Leeway]]-Targets_DW[[#This Row],[JibLead (deg)]]</f>
        <v>#ERROR!</v>
      </c>
    </row>
    <row r="50" ht="14.25" customHeight="1">
      <c r="A50" s="8" t="s">
        <v>34</v>
      </c>
      <c r="B50" s="9" t="s">
        <v>38</v>
      </c>
      <c r="C50" s="9" t="s">
        <v>37</v>
      </c>
      <c r="D50" s="9">
        <v>27.5</v>
      </c>
      <c r="E50" s="9" t="str">
        <f t="shared" si="1"/>
        <v>Foiling_LAB2_LARW2-27.5m</v>
      </c>
      <c r="F50" s="9">
        <v>14.0</v>
      </c>
      <c r="G50" s="7" t="str">
        <f>ABS(Targets_DW[[#This Row],[BSP (km/h)]]*COS(RADIANS(Targets_DW[[#This Row],[TWA (deg)]]+Targets_DW[[#This Row],[LEEWAY (deg)]])))</f>
        <v>#ERROR!</v>
      </c>
      <c r="H50" s="7">
        <v>50.0</v>
      </c>
      <c r="I50" s="7">
        <v>135.0</v>
      </c>
      <c r="J50" s="7">
        <v>1.0</v>
      </c>
      <c r="K50" s="7">
        <v>4.0</v>
      </c>
      <c r="L50" s="7">
        <v>0.8</v>
      </c>
      <c r="M50" s="7" t="str">
        <f>Targets_DW[[#This Row],[CANT (deg)]]-Targets_DW[[#This Row],[HEEL (deg)]]</f>
        <v>#ERROR!</v>
      </c>
      <c r="N50" s="7">
        <v>1310.0</v>
      </c>
      <c r="O50" s="7">
        <v>0.0</v>
      </c>
      <c r="P50" s="7">
        <v>2.8</v>
      </c>
      <c r="Q50" s="7">
        <v>-3.0</v>
      </c>
      <c r="R50" s="7">
        <v>-23.8</v>
      </c>
      <c r="S50" s="7" t="str">
        <f>Targets_DW[[#This Row],[CLEW (deg)]]-0.5*Targets_DW[[#This Row],[CA1 (deg)]]</f>
        <v>#ERROR!</v>
      </c>
      <c r="T50" s="7">
        <v>0.4</v>
      </c>
      <c r="U50" s="7">
        <v>15.0</v>
      </c>
      <c r="V50" s="7">
        <v>600.0</v>
      </c>
      <c r="W50" s="7">
        <v>6.5</v>
      </c>
      <c r="X50" s="7">
        <v>1200.0</v>
      </c>
      <c r="Y50" s="7" t="str">
        <f>SQRT(Targets_DW[[#This Row],[TWS (km/h)]]^2+Targets_DW[[#This Row],[BSP (km/h)]]^2+2*Targets_DW[[#This Row],[TWS (km/h)]]*Targets_DW[[#This Row],[BSP (km/h)]]*COS(RADIANS(Targets_DW[[#This Row],[TWA (deg)]]+Targets_DW[[#This Row],[LEEWAY (deg)]])))</f>
        <v>#ERROR!</v>
      </c>
      <c r="Z50" s="7" t="str">
        <f>DEGREES(ASIN(Targets_DW[[#This Row],[TWS (km/h)]]*SIN(RADIANS(Targets_DW[[#This Row],[TWA (deg)]]+Targets_DW[[#This Row],[LEEWAY (deg)]]))/Targets_DW[[#This Row],[AWS]]))</f>
        <v>#ERROR!</v>
      </c>
      <c r="AA50" s="7" t="str">
        <f>Targets_DW[[#This Row],[AWA+Leeway]]-Targets_DW[[#This Row],[ROT (deg)]]</f>
        <v>#ERROR!</v>
      </c>
      <c r="AB50" s="7" t="str">
        <f>Targets_DW[[#This Row],[TWS (km/h)]]*(Targets_DW[[#This Row],[Wing]]/10)^0.1</f>
        <v>#ERROR!</v>
      </c>
      <c r="AC50" s="7" t="str">
        <f>SQRT(Targets_DW[[#This Row],[TWSTop]]^2+Targets_DW[[#This Row],[BSP (km/h)]]^2+2*Targets_DW[[#This Row],[BSP (km/h)]]*Targets_DW[[#This Row],[TWSTop]]*COS(RADIANS(Targets_DW[[#This Row],[TWA (deg)]]+Targets_DW[[#This Row],[LEEWAY (deg)]])))</f>
        <v>#ERROR!</v>
      </c>
      <c r="AD50" s="7" t="str">
        <f>DEGREES(ASIN(Targets_DW[[#This Row],[TWSTop]]*SIN(RADIANS(Targets_DW[[#This Row],[TWA (deg)]]+Targets_DW[[#This Row],[LEEWAY (deg)]]))/Targets_DW[[#This Row],[AWSTop]]))</f>
        <v>#ERROR!</v>
      </c>
      <c r="AE50" s="7" t="str">
        <f>Targets_DW[[#This Row],[AWA+Leeway Top]]-Targets_DW[[#This Row],[ROT (deg)]]</f>
        <v>#ERROR!</v>
      </c>
      <c r="AF50" s="7" t="str">
        <f>Targets_DW[[#This Row],[CLEW (deg)]]+Targets_DW[[#This Row],[TWIST (deg)]]</f>
        <v>#ERROR!</v>
      </c>
      <c r="AG50" s="10" t="str">
        <f>Targets_DW[[#This Row],[AWA+Leeway Top]]-Targets_DW[[#This Row],[CA6]]</f>
        <v>#ERROR!</v>
      </c>
      <c r="AH50" s="7" t="str">
        <f>Targets_DW[[#This Row],[AWA+Leeway]]-Targets_DW[[#This Row],[JibLead (deg)]]</f>
        <v>#ERROR!</v>
      </c>
    </row>
    <row r="51" ht="14.25" customHeight="1">
      <c r="A51" s="8" t="s">
        <v>34</v>
      </c>
      <c r="B51" s="9" t="s">
        <v>38</v>
      </c>
      <c r="C51" s="9" t="s">
        <v>37</v>
      </c>
      <c r="D51" s="9">
        <v>27.5</v>
      </c>
      <c r="E51" s="9" t="str">
        <f t="shared" si="1"/>
        <v>Foiling_LAB2_LARW2-27.5m</v>
      </c>
      <c r="F51" s="9">
        <v>16.0</v>
      </c>
      <c r="G51" s="7" t="str">
        <f>ABS(Targets_DW[[#This Row],[BSP (km/h)]]*COS(RADIANS(Targets_DW[[#This Row],[TWA (deg)]]+Targets_DW[[#This Row],[LEEWAY (deg)]])))</f>
        <v>#ERROR!</v>
      </c>
      <c r="H51" s="7">
        <v>49.0</v>
      </c>
      <c r="I51" s="7">
        <v>142.0</v>
      </c>
      <c r="J51" s="7">
        <v>0.5</v>
      </c>
      <c r="K51" s="7">
        <v>3.5</v>
      </c>
      <c r="L51" s="7">
        <v>0.4</v>
      </c>
      <c r="M51" s="7" t="str">
        <f>Targets_DW[[#This Row],[CANT (deg)]]-Targets_DW[[#This Row],[HEEL (deg)]]</f>
        <v>#ERROR!</v>
      </c>
      <c r="N51" s="7">
        <v>1330.0</v>
      </c>
      <c r="O51" s="7">
        <v>0.0</v>
      </c>
      <c r="P51" s="7">
        <v>2.7</v>
      </c>
      <c r="Q51" s="7">
        <v>-3.0</v>
      </c>
      <c r="R51" s="7">
        <v>-24.0</v>
      </c>
      <c r="S51" s="7" t="str">
        <f>Targets_DW[[#This Row],[CLEW (deg)]]-0.5*Targets_DW[[#This Row],[CA1 (deg)]]</f>
        <v>#ERROR!</v>
      </c>
      <c r="T51" s="7">
        <v>0.8</v>
      </c>
      <c r="U51" s="7">
        <v>16.0</v>
      </c>
      <c r="V51" s="7">
        <v>530.0</v>
      </c>
      <c r="W51" s="7">
        <v>7.0</v>
      </c>
      <c r="X51" s="7">
        <v>1000.0</v>
      </c>
      <c r="Y51" s="7" t="str">
        <f>SQRT(Targets_DW[[#This Row],[TWS (km/h)]]^2+Targets_DW[[#This Row],[BSP (km/h)]]^2+2*Targets_DW[[#This Row],[TWS (km/h)]]*Targets_DW[[#This Row],[BSP (km/h)]]*COS(RADIANS(Targets_DW[[#This Row],[TWA (deg)]]+Targets_DW[[#This Row],[LEEWAY (deg)]])))</f>
        <v>#ERROR!</v>
      </c>
      <c r="Z51" s="7" t="str">
        <f>DEGREES(ASIN(Targets_DW[[#This Row],[TWS (km/h)]]*SIN(RADIANS(Targets_DW[[#This Row],[TWA (deg)]]+Targets_DW[[#This Row],[LEEWAY (deg)]]))/Targets_DW[[#This Row],[AWS]]))</f>
        <v>#ERROR!</v>
      </c>
      <c r="AA51" s="7" t="str">
        <f>Targets_DW[[#This Row],[AWA+Leeway]]-Targets_DW[[#This Row],[ROT (deg)]]</f>
        <v>#ERROR!</v>
      </c>
      <c r="AB51" s="7" t="str">
        <f>Targets_DW[[#This Row],[TWS (km/h)]]*(Targets_DW[[#This Row],[Wing]]/10)^0.1</f>
        <v>#ERROR!</v>
      </c>
      <c r="AC51" s="7" t="str">
        <f>SQRT(Targets_DW[[#This Row],[TWSTop]]^2+Targets_DW[[#This Row],[BSP (km/h)]]^2+2*Targets_DW[[#This Row],[BSP (km/h)]]*Targets_DW[[#This Row],[TWSTop]]*COS(RADIANS(Targets_DW[[#This Row],[TWA (deg)]]+Targets_DW[[#This Row],[LEEWAY (deg)]])))</f>
        <v>#ERROR!</v>
      </c>
      <c r="AD51" s="7" t="str">
        <f>DEGREES(ASIN(Targets_DW[[#This Row],[TWSTop]]*SIN(RADIANS(Targets_DW[[#This Row],[TWA (deg)]]+Targets_DW[[#This Row],[LEEWAY (deg)]]))/Targets_DW[[#This Row],[AWSTop]]))</f>
        <v>#ERROR!</v>
      </c>
      <c r="AE51" s="7" t="str">
        <f>Targets_DW[[#This Row],[AWA+Leeway Top]]-Targets_DW[[#This Row],[ROT (deg)]]</f>
        <v>#ERROR!</v>
      </c>
      <c r="AF51" s="7" t="str">
        <f>Targets_DW[[#This Row],[CLEW (deg)]]+Targets_DW[[#This Row],[TWIST (deg)]]</f>
        <v>#ERROR!</v>
      </c>
      <c r="AG51" s="10" t="str">
        <f>Targets_DW[[#This Row],[AWA+Leeway Top]]-Targets_DW[[#This Row],[CA6]]</f>
        <v>#ERROR!</v>
      </c>
      <c r="AH51" s="7" t="str">
        <f>Targets_DW[[#This Row],[AWA+Leeway]]-Targets_DW[[#This Row],[JibLead (deg)]]</f>
        <v>#ERROR!</v>
      </c>
    </row>
    <row r="52" ht="14.25" customHeight="1">
      <c r="A52" s="8" t="s">
        <v>34</v>
      </c>
      <c r="B52" s="9" t="s">
        <v>38</v>
      </c>
      <c r="C52" s="9" t="s">
        <v>37</v>
      </c>
      <c r="D52" s="9">
        <v>27.5</v>
      </c>
      <c r="E52" s="9" t="str">
        <f t="shared" si="1"/>
        <v>Foiling_LAB2_LARW2-27.5m</v>
      </c>
      <c r="F52" s="9">
        <v>18.0</v>
      </c>
      <c r="G52" s="7" t="str">
        <f>ABS(Targets_DW[[#This Row],[BSP (km/h)]]*COS(RADIANS(Targets_DW[[#This Row],[TWA (deg)]]+Targets_DW[[#This Row],[LEEWAY (deg)]])))</f>
        <v>#ERROR!</v>
      </c>
      <c r="H52" s="7">
        <v>49.0</v>
      </c>
      <c r="I52" s="7">
        <v>146.0</v>
      </c>
      <c r="J52" s="7">
        <v>0.45</v>
      </c>
      <c r="K52" s="7">
        <v>3.5</v>
      </c>
      <c r="L52" s="7">
        <v>0.2</v>
      </c>
      <c r="M52" s="7" t="str">
        <f>Targets_DW[[#This Row],[CANT (deg)]]-Targets_DW[[#This Row],[HEEL (deg)]]</f>
        <v>#ERROR!</v>
      </c>
      <c r="N52" s="7">
        <v>1350.0</v>
      </c>
      <c r="O52" s="7">
        <v>0.0</v>
      </c>
      <c r="P52" s="7">
        <v>2.7</v>
      </c>
      <c r="Q52" s="7">
        <v>-3.0</v>
      </c>
      <c r="R52" s="7">
        <v>-24.5</v>
      </c>
      <c r="S52" s="7" t="str">
        <f>Targets_DW[[#This Row],[CLEW (deg)]]-0.5*Targets_DW[[#This Row],[CA1 (deg)]]</f>
        <v>#ERROR!</v>
      </c>
      <c r="T52" s="7">
        <v>1.0</v>
      </c>
      <c r="U52" s="7">
        <v>18.0</v>
      </c>
      <c r="V52" s="7">
        <v>490.0</v>
      </c>
      <c r="W52" s="7">
        <v>7.5</v>
      </c>
      <c r="X52" s="7">
        <v>900.0</v>
      </c>
      <c r="Y52" s="7" t="str">
        <f>SQRT(Targets_DW[[#This Row],[TWS (km/h)]]^2+Targets_DW[[#This Row],[BSP (km/h)]]^2+2*Targets_DW[[#This Row],[TWS (km/h)]]*Targets_DW[[#This Row],[BSP (km/h)]]*COS(RADIANS(Targets_DW[[#This Row],[TWA (deg)]]+Targets_DW[[#This Row],[LEEWAY (deg)]])))</f>
        <v>#ERROR!</v>
      </c>
      <c r="Z52" s="7" t="str">
        <f>DEGREES(ASIN(Targets_DW[[#This Row],[TWS (km/h)]]*SIN(RADIANS(Targets_DW[[#This Row],[TWA (deg)]]+Targets_DW[[#This Row],[LEEWAY (deg)]]))/Targets_DW[[#This Row],[AWS]]))</f>
        <v>#ERROR!</v>
      </c>
      <c r="AA52" s="7" t="str">
        <f>Targets_DW[[#This Row],[AWA+Leeway]]-Targets_DW[[#This Row],[ROT (deg)]]</f>
        <v>#ERROR!</v>
      </c>
      <c r="AB52" s="7" t="str">
        <f>Targets_DW[[#This Row],[TWS (km/h)]]*(Targets_DW[[#This Row],[Wing]]/10)^0.1</f>
        <v>#ERROR!</v>
      </c>
      <c r="AC52" s="7" t="str">
        <f>SQRT(Targets_DW[[#This Row],[TWSTop]]^2+Targets_DW[[#This Row],[BSP (km/h)]]^2+2*Targets_DW[[#This Row],[BSP (km/h)]]*Targets_DW[[#This Row],[TWSTop]]*COS(RADIANS(Targets_DW[[#This Row],[TWA (deg)]]+Targets_DW[[#This Row],[LEEWAY (deg)]])))</f>
        <v>#ERROR!</v>
      </c>
      <c r="AD52" s="7" t="str">
        <f>DEGREES(ASIN(Targets_DW[[#This Row],[TWSTop]]*SIN(RADIANS(Targets_DW[[#This Row],[TWA (deg)]]+Targets_DW[[#This Row],[LEEWAY (deg)]]))/Targets_DW[[#This Row],[AWSTop]]))</f>
        <v>#ERROR!</v>
      </c>
      <c r="AE52" s="7" t="str">
        <f>Targets_DW[[#This Row],[AWA+Leeway Top]]-Targets_DW[[#This Row],[ROT (deg)]]</f>
        <v>#ERROR!</v>
      </c>
      <c r="AF52" s="7" t="str">
        <f>Targets_DW[[#This Row],[CLEW (deg)]]+Targets_DW[[#This Row],[TWIST (deg)]]</f>
        <v>#ERROR!</v>
      </c>
      <c r="AG52" s="10" t="str">
        <f>Targets_DW[[#This Row],[AWA+Leeway Top]]-Targets_DW[[#This Row],[CA6]]</f>
        <v>#ERROR!</v>
      </c>
      <c r="AH52" s="7" t="str">
        <f>Targets_DW[[#This Row],[AWA+Leeway]]-Targets_DW[[#This Row],[JibLead (deg)]]</f>
        <v>#ERROR!</v>
      </c>
    </row>
    <row r="53" ht="14.25" customHeight="1">
      <c r="A53" s="8" t="s">
        <v>34</v>
      </c>
      <c r="B53" s="9" t="s">
        <v>38</v>
      </c>
      <c r="C53" s="9" t="s">
        <v>37</v>
      </c>
      <c r="D53" s="9">
        <v>27.5</v>
      </c>
      <c r="E53" s="9" t="str">
        <f t="shared" si="1"/>
        <v>Foiling_LAB2_LARW2-27.5m</v>
      </c>
      <c r="F53" s="9">
        <v>20.0</v>
      </c>
      <c r="G53" s="7" t="str">
        <f>ABS(Targets_DW[[#This Row],[BSP (km/h)]]*COS(RADIANS(Targets_DW[[#This Row],[TWA (deg)]]+Targets_DW[[#This Row],[LEEWAY (deg)]])))</f>
        <v>#ERROR!</v>
      </c>
      <c r="H53" s="7">
        <v>49.0</v>
      </c>
      <c r="I53" s="7">
        <v>150.0</v>
      </c>
      <c r="J53" s="7">
        <v>0.4</v>
      </c>
      <c r="K53" s="7">
        <v>3.5</v>
      </c>
      <c r="L53" s="7">
        <v>0.0</v>
      </c>
      <c r="M53" s="7" t="str">
        <f>Targets_DW[[#This Row],[CANT (deg)]]-Targets_DW[[#This Row],[HEEL (deg)]]</f>
        <v>#ERROR!</v>
      </c>
      <c r="N53" s="7">
        <v>1360.0</v>
      </c>
      <c r="O53" s="7">
        <v>0.0</v>
      </c>
      <c r="P53" s="7">
        <v>2.7</v>
      </c>
      <c r="Q53" s="7">
        <v>-3.0</v>
      </c>
      <c r="R53" s="7">
        <v>-25.0</v>
      </c>
      <c r="S53" s="7" t="str">
        <f>Targets_DW[[#This Row],[CLEW (deg)]]-0.5*Targets_DW[[#This Row],[CA1 (deg)]]</f>
        <v>#ERROR!</v>
      </c>
      <c r="T53" s="7">
        <v>1.0</v>
      </c>
      <c r="U53" s="7">
        <v>19.0</v>
      </c>
      <c r="V53" s="7">
        <v>450.0</v>
      </c>
      <c r="W53" s="7">
        <v>8.0</v>
      </c>
      <c r="X53" s="7">
        <v>800.0</v>
      </c>
      <c r="Y53" s="7" t="str">
        <f>SQRT(Targets_DW[[#This Row],[TWS (km/h)]]^2+Targets_DW[[#This Row],[BSP (km/h)]]^2+2*Targets_DW[[#This Row],[TWS (km/h)]]*Targets_DW[[#This Row],[BSP (km/h)]]*COS(RADIANS(Targets_DW[[#This Row],[TWA (deg)]]+Targets_DW[[#This Row],[LEEWAY (deg)]])))</f>
        <v>#ERROR!</v>
      </c>
      <c r="Z53" s="7" t="str">
        <f>DEGREES(ASIN(Targets_DW[[#This Row],[TWS (km/h)]]*SIN(RADIANS(Targets_DW[[#This Row],[TWA (deg)]]+Targets_DW[[#This Row],[LEEWAY (deg)]]))/Targets_DW[[#This Row],[AWS]]))</f>
        <v>#ERROR!</v>
      </c>
      <c r="AA53" s="7" t="str">
        <f>Targets_DW[[#This Row],[AWA+Leeway]]-Targets_DW[[#This Row],[ROT (deg)]]</f>
        <v>#ERROR!</v>
      </c>
      <c r="AB53" s="7" t="str">
        <f>Targets_DW[[#This Row],[TWS (km/h)]]*(Targets_DW[[#This Row],[Wing]]/10)^0.1</f>
        <v>#ERROR!</v>
      </c>
      <c r="AC53" s="7" t="str">
        <f>SQRT(Targets_DW[[#This Row],[TWSTop]]^2+Targets_DW[[#This Row],[BSP (km/h)]]^2+2*Targets_DW[[#This Row],[BSP (km/h)]]*Targets_DW[[#This Row],[TWSTop]]*COS(RADIANS(Targets_DW[[#This Row],[TWA (deg)]]+Targets_DW[[#This Row],[LEEWAY (deg)]])))</f>
        <v>#ERROR!</v>
      </c>
      <c r="AD53" s="7" t="str">
        <f>DEGREES(ASIN(Targets_DW[[#This Row],[TWSTop]]*SIN(RADIANS(Targets_DW[[#This Row],[TWA (deg)]]+Targets_DW[[#This Row],[LEEWAY (deg)]]))/Targets_DW[[#This Row],[AWSTop]]))</f>
        <v>#ERROR!</v>
      </c>
      <c r="AE53" s="7" t="str">
        <f>Targets_DW[[#This Row],[AWA+Leeway Top]]-Targets_DW[[#This Row],[ROT (deg)]]</f>
        <v>#ERROR!</v>
      </c>
      <c r="AF53" s="7" t="str">
        <f>Targets_DW[[#This Row],[CLEW (deg)]]+Targets_DW[[#This Row],[TWIST (deg)]]</f>
        <v>#ERROR!</v>
      </c>
      <c r="AG53" s="10" t="str">
        <f>Targets_DW[[#This Row],[AWA+Leeway Top]]-Targets_DW[[#This Row],[CA6]]</f>
        <v>#ERROR!</v>
      </c>
      <c r="AH53" s="7" t="str">
        <f>Targets_DW[[#This Row],[AWA+Leeway]]-Targets_DW[[#This Row],[JibLead (deg)]]</f>
        <v>#ERROR!</v>
      </c>
    </row>
    <row r="54" ht="14.25" customHeight="1">
      <c r="A54" s="15" t="s">
        <v>39</v>
      </c>
      <c r="B54" s="16" t="s">
        <v>35</v>
      </c>
      <c r="C54" s="16" t="s">
        <v>37</v>
      </c>
      <c r="D54" s="16">
        <v>24.0</v>
      </c>
      <c r="E54" s="16" t="str">
        <f t="shared" si="1"/>
        <v>H2_HSB2_LARW2-24m</v>
      </c>
      <c r="F54" s="16">
        <v>7.0</v>
      </c>
      <c r="G54" s="17" t="str">
        <f>ABS(Targets_DW[[#This Row],[BSP (km/h)]]*COS(RADIANS(Targets_DW[[#This Row],[TWA (deg)]]+Targets_DW[[#This Row],[LEEWAY (deg)]])))</f>
        <v>#ERROR!</v>
      </c>
      <c r="H54" s="17">
        <v>13.0</v>
      </c>
      <c r="I54" s="17">
        <v>135.0</v>
      </c>
      <c r="J54" s="17">
        <v>1.5</v>
      </c>
      <c r="K54" s="17">
        <v>4.5</v>
      </c>
      <c r="L54" s="17">
        <v>-0.2</v>
      </c>
      <c r="M54" s="17" t="str">
        <f>Targets_DW[[#This Row],[CANT (deg)]]-Targets_DW[[#This Row],[HEEL (deg)]]</f>
        <v>#ERROR!</v>
      </c>
      <c r="N54" s="17"/>
      <c r="O54" s="17">
        <v>0.0</v>
      </c>
      <c r="P54" s="17">
        <v>2.6</v>
      </c>
      <c r="Q54" s="17">
        <v>-0.3</v>
      </c>
      <c r="R54" s="17">
        <v>-35.0</v>
      </c>
      <c r="S54" s="17" t="str">
        <f>Targets_DW[[#This Row],[CLEW (deg)]]-0.5*Targets_DW[[#This Row],[CA1 (deg)]]</f>
        <v>#ERROR!</v>
      </c>
      <c r="T54" s="17">
        <v>10.0</v>
      </c>
      <c r="U54" s="17">
        <v>6.7</v>
      </c>
      <c r="V54" s="17">
        <v>50.0</v>
      </c>
      <c r="W54" s="17">
        <v>10.5</v>
      </c>
      <c r="X54" s="17"/>
      <c r="Y54" s="17" t="str">
        <f>SQRT(Targets_DW[[#This Row],[TWS (km/h)]]^2+Targets_DW[[#This Row],[BSP (km/h)]]^2+2*Targets_DW[[#This Row],[TWS (km/h)]]*Targets_DW[[#This Row],[BSP (km/h)]]*COS(RADIANS(Targets_DW[[#This Row],[TWA (deg)]]+Targets_DW[[#This Row],[LEEWAY (deg)]])))</f>
        <v>#ERROR!</v>
      </c>
      <c r="Z54" s="17" t="str">
        <f>DEGREES(ASIN(Targets_DW[[#This Row],[TWS (km/h)]]*SIN(RADIANS(Targets_DW[[#This Row],[TWA (deg)]]+Targets_DW[[#This Row],[LEEWAY (deg)]]))/Targets_DW[[#This Row],[AWS]]))</f>
        <v>#ERROR!</v>
      </c>
      <c r="AA54" s="17" t="str">
        <f>Targets_DW[[#This Row],[AWA+Leeway]]-Targets_DW[[#This Row],[ROT (deg)]]</f>
        <v>#ERROR!</v>
      </c>
      <c r="AB54" s="17" t="str">
        <f>Targets_DW[[#This Row],[TWS (km/h)]]*(Targets_DW[[#This Row],[Wing]]/10)^0.1</f>
        <v>#ERROR!</v>
      </c>
      <c r="AC54" s="17" t="str">
        <f>SQRT(Targets_DW[[#This Row],[TWSTop]]^2+Targets_DW[[#This Row],[BSP (km/h)]]^2+2*Targets_DW[[#This Row],[BSP (km/h)]]*Targets_DW[[#This Row],[TWSTop]]*COS(RADIANS(Targets_DW[[#This Row],[TWA (deg)]]+Targets_DW[[#This Row],[LEEWAY (deg)]])))</f>
        <v>#ERROR!</v>
      </c>
      <c r="AD54" s="17" t="str">
        <f>DEGREES(ASIN(Targets_DW[[#This Row],[TWSTop]]*SIN(RADIANS(Targets_DW[[#This Row],[TWA (deg)]]+Targets_DW[[#This Row],[LEEWAY (deg)]]))/Targets_DW[[#This Row],[AWSTop]]))</f>
        <v>#ERROR!</v>
      </c>
      <c r="AE54" s="17" t="str">
        <f>Targets_DW[[#This Row],[AWA+Leeway Top]]-Targets_DW[[#This Row],[ROT (deg)]]</f>
        <v>#ERROR!</v>
      </c>
      <c r="AF54" s="17" t="str">
        <f>Targets_DW[[#This Row],[CLEW (deg)]]+Targets_DW[[#This Row],[TWIST (deg)]]</f>
        <v>#ERROR!</v>
      </c>
      <c r="AG54" s="18" t="str">
        <f>Targets_DW[[#This Row],[AWA+Leeway Top]]-Targets_DW[[#This Row],[CA6]]</f>
        <v>#ERROR!</v>
      </c>
      <c r="AH54" s="19" t="str">
        <f>Targets_DW[[#This Row],[AWA+Leeway]]-Targets_DW[[#This Row],[JibLead (deg)]]</f>
        <v>#ERROR!</v>
      </c>
    </row>
    <row r="55" ht="14.25" customHeight="1">
      <c r="A55" s="20" t="s">
        <v>39</v>
      </c>
      <c r="B55" s="21" t="s">
        <v>35</v>
      </c>
      <c r="C55" s="21" t="s">
        <v>37</v>
      </c>
      <c r="D55" s="21">
        <v>24.0</v>
      </c>
      <c r="E55" s="21" t="str">
        <f t="shared" si="1"/>
        <v>H2_HSB2_LARW2-24m</v>
      </c>
      <c r="F55" s="21">
        <v>9.0</v>
      </c>
      <c r="G55" s="19" t="str">
        <f>ABS(Targets_DW[[#This Row],[BSP (km/h)]]*COS(RADIANS(Targets_DW[[#This Row],[TWA (deg)]]+Targets_DW[[#This Row],[LEEWAY (deg)]])))</f>
        <v>#ERROR!</v>
      </c>
      <c r="H55" s="19">
        <v>14.5</v>
      </c>
      <c r="I55" s="19">
        <v>135.0</v>
      </c>
      <c r="J55" s="19">
        <v>1.5</v>
      </c>
      <c r="K55" s="19">
        <v>4.5</v>
      </c>
      <c r="L55" s="19">
        <v>-0.4</v>
      </c>
      <c r="M55" s="19" t="str">
        <f>Targets_DW[[#This Row],[CANT (deg)]]-Targets_DW[[#This Row],[HEEL (deg)]]</f>
        <v>#ERROR!</v>
      </c>
      <c r="N55" s="19"/>
      <c r="O55" s="19">
        <v>0.0</v>
      </c>
      <c r="P55" s="19">
        <v>2.6</v>
      </c>
      <c r="Q55" s="19">
        <v>-0.3</v>
      </c>
      <c r="R55" s="19">
        <v>-35.0</v>
      </c>
      <c r="S55" s="19" t="str">
        <f>Targets_DW[[#This Row],[CLEW (deg)]]-0.5*Targets_DW[[#This Row],[CA1 (deg)]]</f>
        <v>#ERROR!</v>
      </c>
      <c r="T55" s="19">
        <v>17.0</v>
      </c>
      <c r="U55" s="19">
        <v>7.0</v>
      </c>
      <c r="V55" s="19">
        <v>55.0</v>
      </c>
      <c r="W55" s="19">
        <v>10.5</v>
      </c>
      <c r="X55" s="19"/>
      <c r="Y55" s="19" t="str">
        <f>SQRT(Targets_DW[[#This Row],[TWS (km/h)]]^2+Targets_DW[[#This Row],[BSP (km/h)]]^2+2*Targets_DW[[#This Row],[TWS (km/h)]]*Targets_DW[[#This Row],[BSP (km/h)]]*COS(RADIANS(Targets_DW[[#This Row],[TWA (deg)]]+Targets_DW[[#This Row],[LEEWAY (deg)]])))</f>
        <v>#ERROR!</v>
      </c>
      <c r="Z55" s="19" t="str">
        <f>DEGREES(ASIN(Targets_DW[[#This Row],[TWS (km/h)]]*SIN(RADIANS(Targets_DW[[#This Row],[TWA (deg)]]+Targets_DW[[#This Row],[LEEWAY (deg)]]))/Targets_DW[[#This Row],[AWS]]))</f>
        <v>#ERROR!</v>
      </c>
      <c r="AA55" s="19" t="str">
        <f>Targets_DW[[#This Row],[AWA+Leeway]]-Targets_DW[[#This Row],[ROT (deg)]]</f>
        <v>#ERROR!</v>
      </c>
      <c r="AB55" s="19" t="str">
        <f>Targets_DW[[#This Row],[TWS (km/h)]]*(Targets_DW[[#This Row],[Wing]]/10)^0.1</f>
        <v>#ERROR!</v>
      </c>
      <c r="AC55" s="19" t="str">
        <f>SQRT(Targets_DW[[#This Row],[TWSTop]]^2+Targets_DW[[#This Row],[BSP (km/h)]]^2+2*Targets_DW[[#This Row],[BSP (km/h)]]*Targets_DW[[#This Row],[TWSTop]]*COS(RADIANS(Targets_DW[[#This Row],[TWA (deg)]]+Targets_DW[[#This Row],[LEEWAY (deg)]])))</f>
        <v>#ERROR!</v>
      </c>
      <c r="AD55" s="19" t="str">
        <f>DEGREES(ASIN(Targets_DW[[#This Row],[TWSTop]]*SIN(RADIANS(Targets_DW[[#This Row],[TWA (deg)]]+Targets_DW[[#This Row],[LEEWAY (deg)]]))/Targets_DW[[#This Row],[AWSTop]]))</f>
        <v>#ERROR!</v>
      </c>
      <c r="AE55" s="19" t="str">
        <f>Targets_DW[[#This Row],[AWA+Leeway Top]]-Targets_DW[[#This Row],[ROT (deg)]]</f>
        <v>#ERROR!</v>
      </c>
      <c r="AF55" s="19" t="str">
        <f>Targets_DW[[#This Row],[CLEW (deg)]]+Targets_DW[[#This Row],[TWIST (deg)]]</f>
        <v>#ERROR!</v>
      </c>
      <c r="AG55" s="22" t="str">
        <f>Targets_DW[[#This Row],[AWA+Leeway Top]]-Targets_DW[[#This Row],[CA6]]</f>
        <v>#ERROR!</v>
      </c>
      <c r="AH55" s="19" t="str">
        <f>Targets_DW[[#This Row],[AWA+Leeway]]-Targets_DW[[#This Row],[JibLead (deg)]]</f>
        <v>#ERROR!</v>
      </c>
    </row>
    <row r="56" ht="14.25" customHeight="1">
      <c r="A56" s="20" t="s">
        <v>39</v>
      </c>
      <c r="B56" s="21" t="s">
        <v>35</v>
      </c>
      <c r="C56" s="21" t="s">
        <v>37</v>
      </c>
      <c r="D56" s="21">
        <v>24.0</v>
      </c>
      <c r="E56" s="21" t="str">
        <f t="shared" si="1"/>
        <v>H2_HSB2_LARW2-24m</v>
      </c>
      <c r="F56" s="21">
        <v>11.0</v>
      </c>
      <c r="G56" s="19" t="str">
        <f>ABS(Targets_DW[[#This Row],[BSP (km/h)]]*COS(RADIANS(Targets_DW[[#This Row],[TWA (deg)]]+Targets_DW[[#This Row],[LEEWAY (deg)]])))</f>
        <v>#ERROR!</v>
      </c>
      <c r="H56" s="19">
        <v>16.0</v>
      </c>
      <c r="I56" s="19">
        <v>135.0</v>
      </c>
      <c r="J56" s="19">
        <v>1.5</v>
      </c>
      <c r="K56" s="19">
        <v>4.5</v>
      </c>
      <c r="L56" s="19">
        <v>-0.6</v>
      </c>
      <c r="M56" s="19" t="str">
        <f>Targets_DW[[#This Row],[CANT (deg)]]-Targets_DW[[#This Row],[HEEL (deg)]]</f>
        <v>#ERROR!</v>
      </c>
      <c r="N56" s="19"/>
      <c r="O56" s="19">
        <v>0.0</v>
      </c>
      <c r="P56" s="19">
        <v>2.6</v>
      </c>
      <c r="Q56" s="19">
        <v>-0.3</v>
      </c>
      <c r="R56" s="19">
        <v>-35.0</v>
      </c>
      <c r="S56" s="19" t="str">
        <f>Targets_DW[[#This Row],[CLEW (deg)]]-0.5*Targets_DW[[#This Row],[CA1 (deg)]]</f>
        <v>#ERROR!</v>
      </c>
      <c r="T56" s="19">
        <v>22.0</v>
      </c>
      <c r="U56" s="19">
        <v>8.1</v>
      </c>
      <c r="V56" s="19">
        <v>60.0</v>
      </c>
      <c r="W56" s="19">
        <v>10.5</v>
      </c>
      <c r="X56" s="19"/>
      <c r="Y56" s="19" t="str">
        <f>SQRT(Targets_DW[[#This Row],[TWS (km/h)]]^2+Targets_DW[[#This Row],[BSP (km/h)]]^2+2*Targets_DW[[#This Row],[TWS (km/h)]]*Targets_DW[[#This Row],[BSP (km/h)]]*COS(RADIANS(Targets_DW[[#This Row],[TWA (deg)]]+Targets_DW[[#This Row],[LEEWAY (deg)]])))</f>
        <v>#ERROR!</v>
      </c>
      <c r="Z56" s="19" t="str">
        <f>DEGREES(ASIN(Targets_DW[[#This Row],[TWS (km/h)]]*SIN(RADIANS(Targets_DW[[#This Row],[TWA (deg)]]+Targets_DW[[#This Row],[LEEWAY (deg)]]))/Targets_DW[[#This Row],[AWS]]))</f>
        <v>#ERROR!</v>
      </c>
      <c r="AA56" s="19" t="str">
        <f>Targets_DW[[#This Row],[AWA+Leeway]]-Targets_DW[[#This Row],[ROT (deg)]]</f>
        <v>#ERROR!</v>
      </c>
      <c r="AB56" s="19" t="str">
        <f>Targets_DW[[#This Row],[TWS (km/h)]]*(Targets_DW[[#This Row],[Wing]]/10)^0.1</f>
        <v>#ERROR!</v>
      </c>
      <c r="AC56" s="19" t="str">
        <f>SQRT(Targets_DW[[#This Row],[TWSTop]]^2+Targets_DW[[#This Row],[BSP (km/h)]]^2+2*Targets_DW[[#This Row],[BSP (km/h)]]*Targets_DW[[#This Row],[TWSTop]]*COS(RADIANS(Targets_DW[[#This Row],[TWA (deg)]]+Targets_DW[[#This Row],[LEEWAY (deg)]])))</f>
        <v>#ERROR!</v>
      </c>
      <c r="AD56" s="19" t="str">
        <f>DEGREES(ASIN(Targets_DW[[#This Row],[TWSTop]]*SIN(RADIANS(Targets_DW[[#This Row],[TWA (deg)]]+Targets_DW[[#This Row],[LEEWAY (deg)]]))/Targets_DW[[#This Row],[AWSTop]]))</f>
        <v>#ERROR!</v>
      </c>
      <c r="AE56" s="19" t="str">
        <f>Targets_DW[[#This Row],[AWA+Leeway Top]]-Targets_DW[[#This Row],[ROT (deg)]]</f>
        <v>#ERROR!</v>
      </c>
      <c r="AF56" s="19" t="str">
        <f>Targets_DW[[#This Row],[CLEW (deg)]]+Targets_DW[[#This Row],[TWIST (deg)]]</f>
        <v>#ERROR!</v>
      </c>
      <c r="AG56" s="22" t="str">
        <f>Targets_DW[[#This Row],[AWA+Leeway Top]]-Targets_DW[[#This Row],[CA6]]</f>
        <v>#ERROR!</v>
      </c>
      <c r="AH56" s="19" t="str">
        <f>Targets_DW[[#This Row],[AWA+Leeway]]-Targets_DW[[#This Row],[JibLead (deg)]]</f>
        <v>#ERROR!</v>
      </c>
    </row>
    <row r="57" ht="14.25" customHeight="1">
      <c r="A57" s="20" t="s">
        <v>39</v>
      </c>
      <c r="B57" s="21" t="s">
        <v>35</v>
      </c>
      <c r="C57" s="21" t="s">
        <v>37</v>
      </c>
      <c r="D57" s="21">
        <v>24.0</v>
      </c>
      <c r="E57" s="21" t="str">
        <f t="shared" si="1"/>
        <v>H2_HSB2_LARW2-24m</v>
      </c>
      <c r="F57" s="21">
        <v>13.0</v>
      </c>
      <c r="G57" s="19" t="str">
        <f>ABS(Targets_DW[[#This Row],[BSP (km/h)]]*COS(RADIANS(Targets_DW[[#This Row],[TWA (deg)]]+Targets_DW[[#This Row],[LEEWAY (deg)]])))</f>
        <v>#ERROR!</v>
      </c>
      <c r="H57" s="19">
        <v>18.0</v>
      </c>
      <c r="I57" s="19">
        <v>135.0</v>
      </c>
      <c r="J57" s="19">
        <v>1.5</v>
      </c>
      <c r="K57" s="19">
        <v>4.5</v>
      </c>
      <c r="L57" s="19">
        <v>-0.8</v>
      </c>
      <c r="M57" s="19" t="str">
        <f>Targets_DW[[#This Row],[CANT (deg)]]-Targets_DW[[#This Row],[HEEL (deg)]]</f>
        <v>#ERROR!</v>
      </c>
      <c r="N57" s="19"/>
      <c r="O57" s="19">
        <v>0.0</v>
      </c>
      <c r="P57" s="19">
        <v>2.6</v>
      </c>
      <c r="Q57" s="19">
        <v>-0.3</v>
      </c>
      <c r="R57" s="19">
        <v>-35.0</v>
      </c>
      <c r="S57" s="19" t="str">
        <f>Targets_DW[[#This Row],[CLEW (deg)]]-0.5*Targets_DW[[#This Row],[CA1 (deg)]]</f>
        <v>#ERROR!</v>
      </c>
      <c r="T57" s="19">
        <v>25.0</v>
      </c>
      <c r="U57" s="19">
        <v>8.2</v>
      </c>
      <c r="V57" s="19">
        <v>70.0</v>
      </c>
      <c r="W57" s="19">
        <v>10.5</v>
      </c>
      <c r="X57" s="19"/>
      <c r="Y57" s="19" t="str">
        <f>SQRT(Targets_DW[[#This Row],[TWS (km/h)]]^2+Targets_DW[[#This Row],[BSP (km/h)]]^2+2*Targets_DW[[#This Row],[TWS (km/h)]]*Targets_DW[[#This Row],[BSP (km/h)]]*COS(RADIANS(Targets_DW[[#This Row],[TWA (deg)]]+Targets_DW[[#This Row],[LEEWAY (deg)]])))</f>
        <v>#ERROR!</v>
      </c>
      <c r="Z57" s="19" t="str">
        <f>DEGREES(ASIN(Targets_DW[[#This Row],[TWS (km/h)]]*SIN(RADIANS(Targets_DW[[#This Row],[TWA (deg)]]+Targets_DW[[#This Row],[LEEWAY (deg)]]))/Targets_DW[[#This Row],[AWS]]))</f>
        <v>#ERROR!</v>
      </c>
      <c r="AA57" s="19" t="str">
        <f>Targets_DW[[#This Row],[AWA+Leeway]]-Targets_DW[[#This Row],[ROT (deg)]]</f>
        <v>#ERROR!</v>
      </c>
      <c r="AB57" s="19" t="str">
        <f>Targets_DW[[#This Row],[TWS (km/h)]]*(Targets_DW[[#This Row],[Wing]]/10)^0.1</f>
        <v>#ERROR!</v>
      </c>
      <c r="AC57" s="19" t="str">
        <f>SQRT(Targets_DW[[#This Row],[TWSTop]]^2+Targets_DW[[#This Row],[BSP (km/h)]]^2+2*Targets_DW[[#This Row],[BSP (km/h)]]*Targets_DW[[#This Row],[TWSTop]]*COS(RADIANS(Targets_DW[[#This Row],[TWA (deg)]]+Targets_DW[[#This Row],[LEEWAY (deg)]])))</f>
        <v>#ERROR!</v>
      </c>
      <c r="AD57" s="19" t="str">
        <f>DEGREES(ASIN(Targets_DW[[#This Row],[TWSTop]]*SIN(RADIANS(Targets_DW[[#This Row],[TWA (deg)]]+Targets_DW[[#This Row],[LEEWAY (deg)]]))/Targets_DW[[#This Row],[AWSTop]]))</f>
        <v>#ERROR!</v>
      </c>
      <c r="AE57" s="19" t="str">
        <f>Targets_DW[[#This Row],[AWA+Leeway Top]]-Targets_DW[[#This Row],[ROT (deg)]]</f>
        <v>#ERROR!</v>
      </c>
      <c r="AF57" s="19" t="str">
        <f>Targets_DW[[#This Row],[CLEW (deg)]]+Targets_DW[[#This Row],[TWIST (deg)]]</f>
        <v>#ERROR!</v>
      </c>
      <c r="AG57" s="22" t="str">
        <f>Targets_DW[[#This Row],[AWA+Leeway Top]]-Targets_DW[[#This Row],[CA6]]</f>
        <v>#ERROR!</v>
      </c>
      <c r="AH57" s="19" t="str">
        <f>Targets_DW[[#This Row],[AWA+Leeway]]-Targets_DW[[#This Row],[JibLead (deg)]]</f>
        <v>#ERROR!</v>
      </c>
    </row>
    <row r="58" ht="14.25" customHeight="1">
      <c r="A58" s="20" t="s">
        <v>39</v>
      </c>
      <c r="B58" s="21" t="s">
        <v>35</v>
      </c>
      <c r="C58" s="21" t="s">
        <v>37</v>
      </c>
      <c r="D58" s="21">
        <v>24.0</v>
      </c>
      <c r="E58" s="21" t="str">
        <f t="shared" si="1"/>
        <v>H2_HSB2_LARW2-24m</v>
      </c>
      <c r="F58" s="21">
        <v>15.0</v>
      </c>
      <c r="G58" s="19" t="str">
        <f>ABS(Targets_DW[[#This Row],[BSP (km/h)]]*COS(RADIANS(Targets_DW[[#This Row],[TWA (deg)]]+Targets_DW[[#This Row],[LEEWAY (deg)]])))</f>
        <v>#ERROR!</v>
      </c>
      <c r="H58" s="19">
        <v>22.0</v>
      </c>
      <c r="I58" s="19">
        <v>135.0</v>
      </c>
      <c r="J58" s="19">
        <v>1.5</v>
      </c>
      <c r="K58" s="19">
        <v>4.5</v>
      </c>
      <c r="L58" s="19">
        <v>-1.5</v>
      </c>
      <c r="M58" s="19" t="str">
        <f>Targets_DW[[#This Row],[CANT (deg)]]-Targets_DW[[#This Row],[HEEL (deg)]]</f>
        <v>#ERROR!</v>
      </c>
      <c r="N58" s="19"/>
      <c r="O58" s="19">
        <v>0.0</v>
      </c>
      <c r="P58" s="19">
        <v>2.6</v>
      </c>
      <c r="Q58" s="19">
        <v>-0.3</v>
      </c>
      <c r="R58" s="19">
        <v>-35.0</v>
      </c>
      <c r="S58" s="19" t="str">
        <f>Targets_DW[[#This Row],[CLEW (deg)]]-0.5*Targets_DW[[#This Row],[CA1 (deg)]]</f>
        <v>#ERROR!</v>
      </c>
      <c r="T58" s="19">
        <v>25.0</v>
      </c>
      <c r="U58" s="19">
        <v>7.5</v>
      </c>
      <c r="V58" s="19">
        <v>85.0</v>
      </c>
      <c r="W58" s="19">
        <v>10.5</v>
      </c>
      <c r="X58" s="19"/>
      <c r="Y58" s="19" t="str">
        <f>SQRT(Targets_DW[[#This Row],[TWS (km/h)]]^2+Targets_DW[[#This Row],[BSP (km/h)]]^2+2*Targets_DW[[#This Row],[TWS (km/h)]]*Targets_DW[[#This Row],[BSP (km/h)]]*COS(RADIANS(Targets_DW[[#This Row],[TWA (deg)]]+Targets_DW[[#This Row],[LEEWAY (deg)]])))</f>
        <v>#ERROR!</v>
      </c>
      <c r="Z58" s="19" t="str">
        <f>DEGREES(ASIN(Targets_DW[[#This Row],[TWS (km/h)]]*SIN(RADIANS(Targets_DW[[#This Row],[TWA (deg)]]+Targets_DW[[#This Row],[LEEWAY (deg)]]))/Targets_DW[[#This Row],[AWS]]))</f>
        <v>#ERROR!</v>
      </c>
      <c r="AA58" s="19" t="str">
        <f>Targets_DW[[#This Row],[AWA+Leeway]]-Targets_DW[[#This Row],[ROT (deg)]]</f>
        <v>#ERROR!</v>
      </c>
      <c r="AB58" s="19" t="str">
        <f>Targets_DW[[#This Row],[TWS (km/h)]]*(Targets_DW[[#This Row],[Wing]]/10)^0.1</f>
        <v>#ERROR!</v>
      </c>
      <c r="AC58" s="19" t="str">
        <f>SQRT(Targets_DW[[#This Row],[TWSTop]]^2+Targets_DW[[#This Row],[BSP (km/h)]]^2+2*Targets_DW[[#This Row],[BSP (km/h)]]*Targets_DW[[#This Row],[TWSTop]]*COS(RADIANS(Targets_DW[[#This Row],[TWA (deg)]]+Targets_DW[[#This Row],[LEEWAY (deg)]])))</f>
        <v>#ERROR!</v>
      </c>
      <c r="AD58" s="19" t="str">
        <f>DEGREES(ASIN(Targets_DW[[#This Row],[TWSTop]]*SIN(RADIANS(Targets_DW[[#This Row],[TWA (deg)]]+Targets_DW[[#This Row],[LEEWAY (deg)]]))/Targets_DW[[#This Row],[AWSTop]]))</f>
        <v>#ERROR!</v>
      </c>
      <c r="AE58" s="19" t="str">
        <f>Targets_DW[[#This Row],[AWA+Leeway Top]]-Targets_DW[[#This Row],[ROT (deg)]]</f>
        <v>#ERROR!</v>
      </c>
      <c r="AF58" s="19" t="str">
        <f>Targets_DW[[#This Row],[CLEW (deg)]]+Targets_DW[[#This Row],[TWIST (deg)]]</f>
        <v>#ERROR!</v>
      </c>
      <c r="AG58" s="22" t="str">
        <f>Targets_DW[[#This Row],[AWA+Leeway Top]]-Targets_DW[[#This Row],[CA6]]</f>
        <v>#ERROR!</v>
      </c>
      <c r="AH58" s="19" t="str">
        <f>Targets_DW[[#This Row],[AWA+Leeway]]-Targets_DW[[#This Row],[JibLead (deg)]]</f>
        <v>#ERROR!</v>
      </c>
    </row>
    <row r="59" ht="14.25" customHeight="1">
      <c r="A59" s="23" t="s">
        <v>40</v>
      </c>
      <c r="B59" s="24" t="s">
        <v>35</v>
      </c>
      <c r="C59" s="24" t="s">
        <v>37</v>
      </c>
      <c r="D59" s="24">
        <v>24.0</v>
      </c>
      <c r="E59" s="24" t="str">
        <f t="shared" si="1"/>
        <v>H1-2B_HSB2_LARW2-24m</v>
      </c>
      <c r="F59" s="24">
        <v>12.0</v>
      </c>
      <c r="G59" s="25" t="str">
        <f>ABS(Targets_DW[[#This Row],[BSP (km/h)]]*COS(RADIANS(Targets_DW[[#This Row],[TWA (deg)]]+Targets_DW[[#This Row],[LEEWAY (deg)]])))</f>
        <v>#ERROR!</v>
      </c>
      <c r="H59" s="25">
        <v>25.0</v>
      </c>
      <c r="I59" s="25">
        <v>113.0</v>
      </c>
      <c r="J59" s="25">
        <v>3.0</v>
      </c>
      <c r="K59" s="25">
        <v>0.0</v>
      </c>
      <c r="L59" s="25">
        <v>-8.0</v>
      </c>
      <c r="M59" s="25" t="str">
        <f>Targets_DW[[#This Row],[CANT (deg)]]-Targets_DW[[#This Row],[HEEL (deg)]]</f>
        <v>#ERROR!</v>
      </c>
      <c r="N59" s="25"/>
      <c r="O59" s="25">
        <v>0.0</v>
      </c>
      <c r="P59" s="25">
        <v>3.0</v>
      </c>
      <c r="Q59" s="25">
        <v>-0.5</v>
      </c>
      <c r="R59" s="25">
        <v>-35.0</v>
      </c>
      <c r="S59" s="25" t="str">
        <f>Targets_DW[[#This Row],[CLEW (deg)]]-0.5*Targets_DW[[#This Row],[CA1 (deg)]]</f>
        <v>#ERROR!</v>
      </c>
      <c r="T59" s="25">
        <v>1.0</v>
      </c>
      <c r="U59" s="25">
        <v>10.4</v>
      </c>
      <c r="V59" s="25">
        <v>110.0</v>
      </c>
      <c r="W59" s="25">
        <v>10.5</v>
      </c>
      <c r="X59" s="25"/>
      <c r="Y59" s="25" t="str">
        <f>SQRT(Targets_DW[[#This Row],[TWS (km/h)]]^2+Targets_DW[[#This Row],[BSP (km/h)]]^2+2*Targets_DW[[#This Row],[TWS (km/h)]]*Targets_DW[[#This Row],[BSP (km/h)]]*COS(RADIANS(Targets_DW[[#This Row],[TWA (deg)]]+Targets_DW[[#This Row],[LEEWAY (deg)]])))</f>
        <v>#ERROR!</v>
      </c>
      <c r="Z59" s="25" t="str">
        <f>DEGREES(ASIN(Targets_DW[[#This Row],[TWS (km/h)]]*SIN(RADIANS(Targets_DW[[#This Row],[TWA (deg)]]+Targets_DW[[#This Row],[LEEWAY (deg)]]))/Targets_DW[[#This Row],[AWS]]))</f>
        <v>#ERROR!</v>
      </c>
      <c r="AA59" s="25" t="str">
        <f>Targets_DW[[#This Row],[AWA+Leeway]]-Targets_DW[[#This Row],[ROT (deg)]]</f>
        <v>#ERROR!</v>
      </c>
      <c r="AB59" s="25" t="str">
        <f>Targets_DW[[#This Row],[TWS (km/h)]]*(Targets_DW[[#This Row],[Wing]]/10)^0.1</f>
        <v>#ERROR!</v>
      </c>
      <c r="AC59" s="25" t="str">
        <f>SQRT(Targets_DW[[#This Row],[TWSTop]]^2+Targets_DW[[#This Row],[BSP (km/h)]]^2+2*Targets_DW[[#This Row],[BSP (km/h)]]*Targets_DW[[#This Row],[TWSTop]]*COS(RADIANS(Targets_DW[[#This Row],[TWA (deg)]]+Targets_DW[[#This Row],[LEEWAY (deg)]])))</f>
        <v>#ERROR!</v>
      </c>
      <c r="AD59" s="25" t="str">
        <f>DEGREES(ASIN(Targets_DW[[#This Row],[TWSTop]]*SIN(RADIANS(Targets_DW[[#This Row],[TWA (deg)]]+Targets_DW[[#This Row],[LEEWAY (deg)]]))/Targets_DW[[#This Row],[AWSTop]]))</f>
        <v>#ERROR!</v>
      </c>
      <c r="AE59" s="25" t="str">
        <f>Targets_DW[[#This Row],[AWA+Leeway Top]]-Targets_DW[[#This Row],[ROT (deg)]]</f>
        <v>#ERROR!</v>
      </c>
      <c r="AF59" s="25" t="str">
        <f>Targets_DW[[#This Row],[CLEW (deg)]]+Targets_DW[[#This Row],[TWIST (deg)]]</f>
        <v>#ERROR!</v>
      </c>
      <c r="AG59" s="26" t="str">
        <f>Targets_DW[[#This Row],[AWA+Leeway Top]]-Targets_DW[[#This Row],[CA6]]</f>
        <v>#ERROR!</v>
      </c>
      <c r="AH59" s="25" t="str">
        <f>Targets_DW[[#This Row],[AWA+Leeway]]-Targets_DW[[#This Row],[JibLead (deg)]]</f>
        <v>#ERROR!</v>
      </c>
    </row>
    <row r="60" ht="14.25" customHeight="1">
      <c r="A60" s="23" t="s">
        <v>40</v>
      </c>
      <c r="B60" s="24" t="s">
        <v>35</v>
      </c>
      <c r="C60" s="24" t="s">
        <v>37</v>
      </c>
      <c r="D60" s="24">
        <v>24.0</v>
      </c>
      <c r="E60" s="24" t="str">
        <f t="shared" si="1"/>
        <v>H1-2B_HSB2_LARW2-24m</v>
      </c>
      <c r="F60" s="24">
        <v>13.0</v>
      </c>
      <c r="G60" s="25" t="str">
        <f>ABS(Targets_DW[[#This Row],[BSP (km/h)]]*COS(RADIANS(Targets_DW[[#This Row],[TWA (deg)]]+Targets_DW[[#This Row],[LEEWAY (deg)]])))</f>
        <v>#ERROR!</v>
      </c>
      <c r="H60" s="25">
        <v>25.5</v>
      </c>
      <c r="I60" s="25">
        <v>115.0</v>
      </c>
      <c r="J60" s="25">
        <v>3.0</v>
      </c>
      <c r="K60" s="25">
        <v>0.0</v>
      </c>
      <c r="L60" s="25">
        <v>-8.0</v>
      </c>
      <c r="M60" s="25" t="str">
        <f>Targets_DW[[#This Row],[CANT (deg)]]-Targets_DW[[#This Row],[HEEL (deg)]]</f>
        <v>#ERROR!</v>
      </c>
      <c r="N60" s="25"/>
      <c r="O60" s="25">
        <v>0.0</v>
      </c>
      <c r="P60" s="25">
        <v>3.0</v>
      </c>
      <c r="Q60" s="25">
        <v>-0.5</v>
      </c>
      <c r="R60" s="25">
        <v>-35.0</v>
      </c>
      <c r="S60" s="25" t="str">
        <f>Targets_DW[[#This Row],[CLEW (deg)]]-0.5*Targets_DW[[#This Row],[CA1 (deg)]]</f>
        <v>#ERROR!</v>
      </c>
      <c r="T60" s="25">
        <v>3.0</v>
      </c>
      <c r="U60" s="25">
        <v>10.6</v>
      </c>
      <c r="V60" s="25">
        <v>110.0</v>
      </c>
      <c r="W60" s="25">
        <v>10.5</v>
      </c>
      <c r="X60" s="25"/>
      <c r="Y60" s="25" t="str">
        <f>SQRT(Targets_DW[[#This Row],[TWS (km/h)]]^2+Targets_DW[[#This Row],[BSP (km/h)]]^2+2*Targets_DW[[#This Row],[TWS (km/h)]]*Targets_DW[[#This Row],[BSP (km/h)]]*COS(RADIANS(Targets_DW[[#This Row],[TWA (deg)]]+Targets_DW[[#This Row],[LEEWAY (deg)]])))</f>
        <v>#ERROR!</v>
      </c>
      <c r="Z60" s="25" t="str">
        <f>DEGREES(ASIN(Targets_DW[[#This Row],[TWS (km/h)]]*SIN(RADIANS(Targets_DW[[#This Row],[TWA (deg)]]+Targets_DW[[#This Row],[LEEWAY (deg)]]))/Targets_DW[[#This Row],[AWS]]))</f>
        <v>#ERROR!</v>
      </c>
      <c r="AA60" s="25" t="str">
        <f>Targets_DW[[#This Row],[AWA+Leeway]]-Targets_DW[[#This Row],[ROT (deg)]]</f>
        <v>#ERROR!</v>
      </c>
      <c r="AB60" s="25" t="str">
        <f>Targets_DW[[#This Row],[TWS (km/h)]]*(Targets_DW[[#This Row],[Wing]]/10)^0.1</f>
        <v>#ERROR!</v>
      </c>
      <c r="AC60" s="25" t="str">
        <f>SQRT(Targets_DW[[#This Row],[TWSTop]]^2+Targets_DW[[#This Row],[BSP (km/h)]]^2+2*Targets_DW[[#This Row],[BSP (km/h)]]*Targets_DW[[#This Row],[TWSTop]]*COS(RADIANS(Targets_DW[[#This Row],[TWA (deg)]]+Targets_DW[[#This Row],[LEEWAY (deg)]])))</f>
        <v>#ERROR!</v>
      </c>
      <c r="AD60" s="25" t="str">
        <f>DEGREES(ASIN(Targets_DW[[#This Row],[TWSTop]]*SIN(RADIANS(Targets_DW[[#This Row],[TWA (deg)]]+Targets_DW[[#This Row],[LEEWAY (deg)]]))/Targets_DW[[#This Row],[AWSTop]]))</f>
        <v>#ERROR!</v>
      </c>
      <c r="AE60" s="25" t="str">
        <f>Targets_DW[[#This Row],[AWA+Leeway Top]]-Targets_DW[[#This Row],[ROT (deg)]]</f>
        <v>#ERROR!</v>
      </c>
      <c r="AF60" s="25" t="str">
        <f>Targets_DW[[#This Row],[CLEW (deg)]]+Targets_DW[[#This Row],[TWIST (deg)]]</f>
        <v>#ERROR!</v>
      </c>
      <c r="AG60" s="26" t="str">
        <f>Targets_DW[[#This Row],[AWA+Leeway Top]]-Targets_DW[[#This Row],[CA6]]</f>
        <v>#ERROR!</v>
      </c>
      <c r="AH60" s="25" t="str">
        <f>Targets_DW[[#This Row],[AWA+Leeway]]-Targets_DW[[#This Row],[JibLead (deg)]]</f>
        <v>#ERROR!</v>
      </c>
    </row>
    <row r="61" ht="14.25" customHeight="1">
      <c r="A61" s="23" t="s">
        <v>40</v>
      </c>
      <c r="B61" s="24" t="s">
        <v>35</v>
      </c>
      <c r="C61" s="24" t="s">
        <v>37</v>
      </c>
      <c r="D61" s="24">
        <v>24.0</v>
      </c>
      <c r="E61" s="24" t="str">
        <f t="shared" si="1"/>
        <v>H1-2B_HSB2_LARW2-24m</v>
      </c>
      <c r="F61" s="24">
        <v>14.0</v>
      </c>
      <c r="G61" s="25" t="str">
        <f>ABS(Targets_DW[[#This Row],[BSP (km/h)]]*COS(RADIANS(Targets_DW[[#This Row],[TWA (deg)]]+Targets_DW[[#This Row],[LEEWAY (deg)]])))</f>
        <v>#ERROR!</v>
      </c>
      <c r="H61" s="25">
        <v>26.0</v>
      </c>
      <c r="I61" s="25">
        <v>117.0</v>
      </c>
      <c r="J61" s="25">
        <v>3.0</v>
      </c>
      <c r="K61" s="25">
        <v>0.0</v>
      </c>
      <c r="L61" s="25">
        <v>-8.0</v>
      </c>
      <c r="M61" s="25" t="str">
        <f>Targets_DW[[#This Row],[CANT (deg)]]-Targets_DW[[#This Row],[HEEL (deg)]]</f>
        <v>#ERROR!</v>
      </c>
      <c r="N61" s="25"/>
      <c r="O61" s="25">
        <v>0.0</v>
      </c>
      <c r="P61" s="25">
        <v>3.0</v>
      </c>
      <c r="Q61" s="25">
        <v>-0.5</v>
      </c>
      <c r="R61" s="25">
        <v>-35.0</v>
      </c>
      <c r="S61" s="25" t="str">
        <f>Targets_DW[[#This Row],[CLEW (deg)]]-0.5*Targets_DW[[#This Row],[CA1 (deg)]]</f>
        <v>#ERROR!</v>
      </c>
      <c r="T61" s="25">
        <v>5.0</v>
      </c>
      <c r="U61" s="25">
        <v>10.8</v>
      </c>
      <c r="V61" s="25">
        <v>110.0</v>
      </c>
      <c r="W61" s="25">
        <v>10.5</v>
      </c>
      <c r="X61" s="25"/>
      <c r="Y61" s="25" t="str">
        <f>SQRT(Targets_DW[[#This Row],[TWS (km/h)]]^2+Targets_DW[[#This Row],[BSP (km/h)]]^2+2*Targets_DW[[#This Row],[TWS (km/h)]]*Targets_DW[[#This Row],[BSP (km/h)]]*COS(RADIANS(Targets_DW[[#This Row],[TWA (deg)]]+Targets_DW[[#This Row],[LEEWAY (deg)]])))</f>
        <v>#ERROR!</v>
      </c>
      <c r="Z61" s="25" t="str">
        <f>DEGREES(ASIN(Targets_DW[[#This Row],[TWS (km/h)]]*SIN(RADIANS(Targets_DW[[#This Row],[TWA (deg)]]+Targets_DW[[#This Row],[LEEWAY (deg)]]))/Targets_DW[[#This Row],[AWS]]))</f>
        <v>#ERROR!</v>
      </c>
      <c r="AA61" s="25" t="str">
        <f>Targets_DW[[#This Row],[AWA+Leeway]]-Targets_DW[[#This Row],[ROT (deg)]]</f>
        <v>#ERROR!</v>
      </c>
      <c r="AB61" s="25" t="str">
        <f>Targets_DW[[#This Row],[TWS (km/h)]]*(Targets_DW[[#This Row],[Wing]]/10)^0.1</f>
        <v>#ERROR!</v>
      </c>
      <c r="AC61" s="25" t="str">
        <f>SQRT(Targets_DW[[#This Row],[TWSTop]]^2+Targets_DW[[#This Row],[BSP (km/h)]]^2+2*Targets_DW[[#This Row],[BSP (km/h)]]*Targets_DW[[#This Row],[TWSTop]]*COS(RADIANS(Targets_DW[[#This Row],[TWA (deg)]]+Targets_DW[[#This Row],[LEEWAY (deg)]])))</f>
        <v>#ERROR!</v>
      </c>
      <c r="AD61" s="25" t="str">
        <f>DEGREES(ASIN(Targets_DW[[#This Row],[TWSTop]]*SIN(RADIANS(Targets_DW[[#This Row],[TWA (deg)]]+Targets_DW[[#This Row],[LEEWAY (deg)]]))/Targets_DW[[#This Row],[AWSTop]]))</f>
        <v>#ERROR!</v>
      </c>
      <c r="AE61" s="25" t="str">
        <f>Targets_DW[[#This Row],[AWA+Leeway Top]]-Targets_DW[[#This Row],[ROT (deg)]]</f>
        <v>#ERROR!</v>
      </c>
      <c r="AF61" s="25" t="str">
        <f>Targets_DW[[#This Row],[CLEW (deg)]]+Targets_DW[[#This Row],[TWIST (deg)]]</f>
        <v>#ERROR!</v>
      </c>
      <c r="AG61" s="26" t="str">
        <f>Targets_DW[[#This Row],[AWA+Leeway Top]]-Targets_DW[[#This Row],[CA6]]</f>
        <v>#ERROR!</v>
      </c>
      <c r="AH61" s="25" t="str">
        <f>Targets_DW[[#This Row],[AWA+Leeway]]-Targets_DW[[#This Row],[JibLead (deg)]]</f>
        <v>#ERROR!</v>
      </c>
    </row>
    <row r="62" ht="14.25" customHeight="1">
      <c r="A62" s="27" t="s">
        <v>41</v>
      </c>
      <c r="B62" s="28" t="s">
        <v>35</v>
      </c>
      <c r="C62" s="28" t="s">
        <v>37</v>
      </c>
      <c r="D62" s="28">
        <v>24.0</v>
      </c>
      <c r="E62" s="28" t="str">
        <f t="shared" si="1"/>
        <v>H1_HSB2_LARW2-24m</v>
      </c>
      <c r="F62" s="28">
        <v>14.0</v>
      </c>
      <c r="G62" s="29" t="str">
        <f>ABS(Targets_DW[[#This Row],[BSP (km/h)]]*COS(RADIANS(Targets_DW[[#This Row],[TWA (deg)]]+Targets_DW[[#This Row],[LEEWAY (deg)]])))</f>
        <v>#ERROR!</v>
      </c>
      <c r="H62" s="29">
        <v>29.0</v>
      </c>
      <c r="I62" s="29">
        <v>110.0</v>
      </c>
      <c r="J62" s="29">
        <v>2.0</v>
      </c>
      <c r="K62" s="29">
        <v>-1.0</v>
      </c>
      <c r="L62" s="29">
        <v>-10.0</v>
      </c>
      <c r="M62" s="29" t="str">
        <f>Targets_DW[[#This Row],[CANT (deg)]]-Targets_DW[[#This Row],[HEEL (deg)]]</f>
        <v>#ERROR!</v>
      </c>
      <c r="N62" s="29"/>
      <c r="O62" s="29">
        <v>0.0</v>
      </c>
      <c r="P62" s="29">
        <v>3.0</v>
      </c>
      <c r="Q62" s="29">
        <v>-0.8</v>
      </c>
      <c r="R62" s="29">
        <v>-35.0</v>
      </c>
      <c r="S62" s="29" t="str">
        <f>Targets_DW[[#This Row],[CLEW (deg)]]-0.5*Targets_DW[[#This Row],[CA1 (deg)]]</f>
        <v>#ERROR!</v>
      </c>
      <c r="T62" s="29">
        <v>1.0</v>
      </c>
      <c r="U62" s="29">
        <v>11.3</v>
      </c>
      <c r="V62" s="29">
        <v>140.0</v>
      </c>
      <c r="W62" s="29">
        <v>10.5</v>
      </c>
      <c r="X62" s="29"/>
      <c r="Y62" s="29" t="str">
        <f>SQRT(Targets_DW[[#This Row],[TWS (km/h)]]^2+Targets_DW[[#This Row],[BSP (km/h)]]^2+2*Targets_DW[[#This Row],[TWS (km/h)]]*Targets_DW[[#This Row],[BSP (km/h)]]*COS(RADIANS(Targets_DW[[#This Row],[TWA (deg)]]+Targets_DW[[#This Row],[LEEWAY (deg)]])))</f>
        <v>#ERROR!</v>
      </c>
      <c r="Z62" s="29" t="str">
        <f>DEGREES(ASIN(Targets_DW[[#This Row],[TWS (km/h)]]*SIN(RADIANS(Targets_DW[[#This Row],[TWA (deg)]]+Targets_DW[[#This Row],[LEEWAY (deg)]]))/Targets_DW[[#This Row],[AWS]]))</f>
        <v>#ERROR!</v>
      </c>
      <c r="AA62" s="29" t="str">
        <f>Targets_DW[[#This Row],[AWA+Leeway]]-Targets_DW[[#This Row],[ROT (deg)]]</f>
        <v>#ERROR!</v>
      </c>
      <c r="AB62" s="29" t="str">
        <f>Targets_DW[[#This Row],[TWS (km/h)]]*(Targets_DW[[#This Row],[Wing]]/10)^0.1</f>
        <v>#ERROR!</v>
      </c>
      <c r="AC62" s="29" t="str">
        <f>SQRT(Targets_DW[[#This Row],[TWSTop]]^2+Targets_DW[[#This Row],[BSP (km/h)]]^2+2*Targets_DW[[#This Row],[BSP (km/h)]]*Targets_DW[[#This Row],[TWSTop]]*COS(RADIANS(Targets_DW[[#This Row],[TWA (deg)]]+Targets_DW[[#This Row],[LEEWAY (deg)]])))</f>
        <v>#ERROR!</v>
      </c>
      <c r="AD62" s="29" t="str">
        <f>DEGREES(ASIN(Targets_DW[[#This Row],[TWSTop]]*SIN(RADIANS(Targets_DW[[#This Row],[TWA (deg)]]+Targets_DW[[#This Row],[LEEWAY (deg)]]))/Targets_DW[[#This Row],[AWSTop]]))</f>
        <v>#ERROR!</v>
      </c>
      <c r="AE62" s="29" t="str">
        <f>Targets_DW[[#This Row],[AWA+Leeway Top]]-Targets_DW[[#This Row],[ROT (deg)]]</f>
        <v>#ERROR!</v>
      </c>
      <c r="AF62" s="29" t="str">
        <f>Targets_DW[[#This Row],[CLEW (deg)]]+Targets_DW[[#This Row],[TWIST (deg)]]</f>
        <v>#ERROR!</v>
      </c>
      <c r="AG62" s="30" t="str">
        <f>Targets_DW[[#This Row],[AWA+Leeway Top]]-Targets_DW[[#This Row],[CA6]]</f>
        <v>#ERROR!</v>
      </c>
      <c r="AH62" s="29" t="str">
        <f>Targets_DW[[#This Row],[AWA+Leeway]]-Targets_DW[[#This Row],[JibLead (deg)]]</f>
        <v>#ERROR!</v>
      </c>
    </row>
    <row r="63" ht="14.25" customHeight="1">
      <c r="A63" s="15" t="s">
        <v>39</v>
      </c>
      <c r="B63" s="16" t="s">
        <v>38</v>
      </c>
      <c r="C63" s="16" t="s">
        <v>37</v>
      </c>
      <c r="D63" s="16">
        <v>24.0</v>
      </c>
      <c r="E63" s="16" t="str">
        <f t="shared" si="1"/>
        <v>H2_LAB2_LARW2-24m</v>
      </c>
      <c r="F63" s="16">
        <v>8.0</v>
      </c>
      <c r="G63" s="17" t="str">
        <f>ABS(Targets_DW[[#This Row],[BSP (km/h)]]*COS(RADIANS(Targets_DW[[#This Row],[TWA (deg)]]+Targets_DW[[#This Row],[LEEWAY (deg)]])))</f>
        <v>#ERROR!</v>
      </c>
      <c r="H63" s="17">
        <v>14.0</v>
      </c>
      <c r="I63" s="17">
        <v>130.0</v>
      </c>
      <c r="J63" s="17">
        <v>1.0</v>
      </c>
      <c r="K63" s="17">
        <v>4.5</v>
      </c>
      <c r="L63" s="17">
        <v>-0.4</v>
      </c>
      <c r="M63" s="17" t="str">
        <f>Targets_DW[[#This Row],[CANT (deg)]]-Targets_DW[[#This Row],[HEEL (deg)]]</f>
        <v>#ERROR!</v>
      </c>
      <c r="N63" s="17"/>
      <c r="O63" s="17">
        <v>0.0</v>
      </c>
      <c r="P63" s="17">
        <v>2.6</v>
      </c>
      <c r="Q63" s="17">
        <v>-0.3</v>
      </c>
      <c r="R63" s="17">
        <v>-35.0</v>
      </c>
      <c r="S63" s="17" t="str">
        <f>Targets_DW[[#This Row],[CLEW (deg)]]-0.5*Targets_DW[[#This Row],[CA1 (deg)]]</f>
        <v>#ERROR!</v>
      </c>
      <c r="T63" s="17">
        <v>13.0</v>
      </c>
      <c r="U63" s="17">
        <v>7.0</v>
      </c>
      <c r="V63" s="17">
        <v>58.0</v>
      </c>
      <c r="W63" s="17">
        <v>10.5</v>
      </c>
      <c r="X63" s="17"/>
      <c r="Y63" s="17" t="str">
        <f>SQRT(Targets_DW[[#This Row],[TWS (km/h)]]^2+Targets_DW[[#This Row],[BSP (km/h)]]^2+2*Targets_DW[[#This Row],[TWS (km/h)]]*Targets_DW[[#This Row],[BSP (km/h)]]*COS(RADIANS(Targets_DW[[#This Row],[TWA (deg)]]+Targets_DW[[#This Row],[LEEWAY (deg)]])))</f>
        <v>#ERROR!</v>
      </c>
      <c r="Z63" s="17" t="str">
        <f>DEGREES(ASIN(Targets_DW[[#This Row],[TWS (km/h)]]*SIN(RADIANS(Targets_DW[[#This Row],[TWA (deg)]]+Targets_DW[[#This Row],[LEEWAY (deg)]]))/Targets_DW[[#This Row],[AWS]]))</f>
        <v>#ERROR!</v>
      </c>
      <c r="AA63" s="17" t="str">
        <f>Targets_DW[[#This Row],[AWA+Leeway]]-Targets_DW[[#This Row],[ROT (deg)]]</f>
        <v>#ERROR!</v>
      </c>
      <c r="AB63" s="17" t="str">
        <f>Targets_DW[[#This Row],[TWS (km/h)]]*(Targets_DW[[#This Row],[Wing]]/10)^0.1</f>
        <v>#ERROR!</v>
      </c>
      <c r="AC63" s="17" t="str">
        <f>SQRT(Targets_DW[[#This Row],[TWSTop]]^2+Targets_DW[[#This Row],[BSP (km/h)]]^2+2*Targets_DW[[#This Row],[BSP (km/h)]]*Targets_DW[[#This Row],[TWSTop]]*COS(RADIANS(Targets_DW[[#This Row],[TWA (deg)]]+Targets_DW[[#This Row],[LEEWAY (deg)]])))</f>
        <v>#ERROR!</v>
      </c>
      <c r="AD63" s="17" t="str">
        <f>DEGREES(ASIN(Targets_DW[[#This Row],[TWSTop]]*SIN(RADIANS(Targets_DW[[#This Row],[TWA (deg)]]+Targets_DW[[#This Row],[LEEWAY (deg)]]))/Targets_DW[[#This Row],[AWSTop]]))</f>
        <v>#ERROR!</v>
      </c>
      <c r="AE63" s="17" t="str">
        <f>Targets_DW[[#This Row],[AWA+Leeway Top]]-Targets_DW[[#This Row],[ROT (deg)]]</f>
        <v>#ERROR!</v>
      </c>
      <c r="AF63" s="17" t="str">
        <f>Targets_DW[[#This Row],[CLEW (deg)]]+Targets_DW[[#This Row],[TWIST (deg)]]</f>
        <v>#ERROR!</v>
      </c>
      <c r="AG63" s="18" t="str">
        <f>Targets_DW[[#This Row],[AWA+Leeway Top]]-Targets_DW[[#This Row],[CA6]]</f>
        <v>#ERROR!</v>
      </c>
      <c r="AH63" s="19" t="str">
        <f>Targets_DW[[#This Row],[AWA+Leeway]]-Targets_DW[[#This Row],[JibLead (deg)]]</f>
        <v>#ERROR!</v>
      </c>
    </row>
    <row r="64" ht="14.25" customHeight="1">
      <c r="A64" s="20" t="s">
        <v>39</v>
      </c>
      <c r="B64" s="21" t="s">
        <v>38</v>
      </c>
      <c r="C64" s="21" t="s">
        <v>37</v>
      </c>
      <c r="D64" s="21">
        <v>24.0</v>
      </c>
      <c r="E64" s="21" t="str">
        <f t="shared" si="1"/>
        <v>H2_LAB2_LARW2-24m</v>
      </c>
      <c r="F64" s="21">
        <v>10.0</v>
      </c>
      <c r="G64" s="19" t="str">
        <f>ABS(Targets_DW[[#This Row],[BSP (km/h)]]*COS(RADIANS(Targets_DW[[#This Row],[TWA (deg)]]+Targets_DW[[#This Row],[LEEWAY (deg)]])))</f>
        <v>#ERROR!</v>
      </c>
      <c r="H64" s="19">
        <v>15.0</v>
      </c>
      <c r="I64" s="19">
        <v>131.0</v>
      </c>
      <c r="J64" s="19">
        <v>1.0</v>
      </c>
      <c r="K64" s="19">
        <v>4.5</v>
      </c>
      <c r="L64" s="19">
        <v>-0.5</v>
      </c>
      <c r="M64" s="19" t="str">
        <f>Targets_DW[[#This Row],[CANT (deg)]]-Targets_DW[[#This Row],[HEEL (deg)]]</f>
        <v>#ERROR!</v>
      </c>
      <c r="N64" s="19"/>
      <c r="O64" s="19">
        <v>0.0</v>
      </c>
      <c r="P64" s="19">
        <v>2.6</v>
      </c>
      <c r="Q64" s="19">
        <v>-0.3</v>
      </c>
      <c r="R64" s="19">
        <v>-35.0</v>
      </c>
      <c r="S64" s="19" t="str">
        <f>Targets_DW[[#This Row],[CLEW (deg)]]-0.5*Targets_DW[[#This Row],[CA1 (deg)]]</f>
        <v>#ERROR!</v>
      </c>
      <c r="T64" s="19">
        <v>20.0</v>
      </c>
      <c r="U64" s="19">
        <v>8.0</v>
      </c>
      <c r="V64" s="19">
        <v>60.0</v>
      </c>
      <c r="W64" s="19">
        <v>10.5</v>
      </c>
      <c r="X64" s="19"/>
      <c r="Y64" s="19" t="str">
        <f>SQRT(Targets_DW[[#This Row],[TWS (km/h)]]^2+Targets_DW[[#This Row],[BSP (km/h)]]^2+2*Targets_DW[[#This Row],[TWS (km/h)]]*Targets_DW[[#This Row],[BSP (km/h)]]*COS(RADIANS(Targets_DW[[#This Row],[TWA (deg)]]+Targets_DW[[#This Row],[LEEWAY (deg)]])))</f>
        <v>#ERROR!</v>
      </c>
      <c r="Z64" s="19" t="str">
        <f>DEGREES(ASIN(Targets_DW[[#This Row],[TWS (km/h)]]*SIN(RADIANS(Targets_DW[[#This Row],[TWA (deg)]]+Targets_DW[[#This Row],[LEEWAY (deg)]]))/Targets_DW[[#This Row],[AWS]]))</f>
        <v>#ERROR!</v>
      </c>
      <c r="AA64" s="19" t="str">
        <f>Targets_DW[[#This Row],[AWA+Leeway]]-Targets_DW[[#This Row],[ROT (deg)]]</f>
        <v>#ERROR!</v>
      </c>
      <c r="AB64" s="19" t="str">
        <f>Targets_DW[[#This Row],[TWS (km/h)]]*(Targets_DW[[#This Row],[Wing]]/10)^0.1</f>
        <v>#ERROR!</v>
      </c>
      <c r="AC64" s="19" t="str">
        <f>SQRT(Targets_DW[[#This Row],[TWSTop]]^2+Targets_DW[[#This Row],[BSP (km/h)]]^2+2*Targets_DW[[#This Row],[BSP (km/h)]]*Targets_DW[[#This Row],[TWSTop]]*COS(RADIANS(Targets_DW[[#This Row],[TWA (deg)]]+Targets_DW[[#This Row],[LEEWAY (deg)]])))</f>
        <v>#ERROR!</v>
      </c>
      <c r="AD64" s="19" t="str">
        <f>DEGREES(ASIN(Targets_DW[[#This Row],[TWSTop]]*SIN(RADIANS(Targets_DW[[#This Row],[TWA (deg)]]+Targets_DW[[#This Row],[LEEWAY (deg)]]))/Targets_DW[[#This Row],[AWSTop]]))</f>
        <v>#ERROR!</v>
      </c>
      <c r="AE64" s="19" t="str">
        <f>Targets_DW[[#This Row],[AWA+Leeway Top]]-Targets_DW[[#This Row],[ROT (deg)]]</f>
        <v>#ERROR!</v>
      </c>
      <c r="AF64" s="19" t="str">
        <f>Targets_DW[[#This Row],[CLEW (deg)]]+Targets_DW[[#This Row],[TWIST (deg)]]</f>
        <v>#ERROR!</v>
      </c>
      <c r="AG64" s="22" t="str">
        <f>Targets_DW[[#This Row],[AWA+Leeway Top]]-Targets_DW[[#This Row],[CA6]]</f>
        <v>#ERROR!</v>
      </c>
      <c r="AH64" s="19" t="str">
        <f>Targets_DW[[#This Row],[AWA+Leeway]]-Targets_DW[[#This Row],[JibLead (deg)]]</f>
        <v>#ERROR!</v>
      </c>
    </row>
    <row r="65" ht="14.25" customHeight="1">
      <c r="A65" s="20" t="s">
        <v>39</v>
      </c>
      <c r="B65" s="21" t="s">
        <v>38</v>
      </c>
      <c r="C65" s="21" t="s">
        <v>37</v>
      </c>
      <c r="D65" s="21">
        <v>24.0</v>
      </c>
      <c r="E65" s="21" t="str">
        <f t="shared" si="1"/>
        <v>H2_LAB2_LARW2-24m</v>
      </c>
      <c r="F65" s="21">
        <v>12.0</v>
      </c>
      <c r="G65" s="19" t="str">
        <f>ABS(Targets_DW[[#This Row],[BSP (km/h)]]*COS(RADIANS(Targets_DW[[#This Row],[TWA (deg)]]+Targets_DW[[#This Row],[LEEWAY (deg)]])))</f>
        <v>#ERROR!</v>
      </c>
      <c r="H65" s="19">
        <v>17.0</v>
      </c>
      <c r="I65" s="19">
        <v>132.0</v>
      </c>
      <c r="J65" s="19">
        <v>1.0</v>
      </c>
      <c r="K65" s="19">
        <v>4.5</v>
      </c>
      <c r="L65" s="19">
        <v>-0.6</v>
      </c>
      <c r="M65" s="19" t="str">
        <f>Targets_DW[[#This Row],[CANT (deg)]]-Targets_DW[[#This Row],[HEEL (deg)]]</f>
        <v>#ERROR!</v>
      </c>
      <c r="N65" s="19"/>
      <c r="O65" s="19">
        <v>0.0</v>
      </c>
      <c r="P65" s="19">
        <v>2.6</v>
      </c>
      <c r="Q65" s="19">
        <v>-0.3</v>
      </c>
      <c r="R65" s="19">
        <v>-35.0</v>
      </c>
      <c r="S65" s="19" t="str">
        <f>Targets_DW[[#This Row],[CLEW (deg)]]-0.5*Targets_DW[[#This Row],[CA1 (deg)]]</f>
        <v>#ERROR!</v>
      </c>
      <c r="T65" s="19">
        <v>23.0</v>
      </c>
      <c r="U65" s="19">
        <v>8.4</v>
      </c>
      <c r="V65" s="19">
        <v>70.0</v>
      </c>
      <c r="W65" s="19">
        <v>10.5</v>
      </c>
      <c r="X65" s="19"/>
      <c r="Y65" s="19" t="str">
        <f>SQRT(Targets_DW[[#This Row],[TWS (km/h)]]^2+Targets_DW[[#This Row],[BSP (km/h)]]^2+2*Targets_DW[[#This Row],[TWS (km/h)]]*Targets_DW[[#This Row],[BSP (km/h)]]*COS(RADIANS(Targets_DW[[#This Row],[TWA (deg)]]+Targets_DW[[#This Row],[LEEWAY (deg)]])))</f>
        <v>#ERROR!</v>
      </c>
      <c r="Z65" s="19" t="str">
        <f>DEGREES(ASIN(Targets_DW[[#This Row],[TWS (km/h)]]*SIN(RADIANS(Targets_DW[[#This Row],[TWA (deg)]]+Targets_DW[[#This Row],[LEEWAY (deg)]]))/Targets_DW[[#This Row],[AWS]]))</f>
        <v>#ERROR!</v>
      </c>
      <c r="AA65" s="19" t="str">
        <f>Targets_DW[[#This Row],[AWA+Leeway]]-Targets_DW[[#This Row],[ROT (deg)]]</f>
        <v>#ERROR!</v>
      </c>
      <c r="AB65" s="19" t="str">
        <f>Targets_DW[[#This Row],[TWS (km/h)]]*(Targets_DW[[#This Row],[Wing]]/10)^0.1</f>
        <v>#ERROR!</v>
      </c>
      <c r="AC65" s="19" t="str">
        <f>SQRT(Targets_DW[[#This Row],[TWSTop]]^2+Targets_DW[[#This Row],[BSP (km/h)]]^2+2*Targets_DW[[#This Row],[BSP (km/h)]]*Targets_DW[[#This Row],[TWSTop]]*COS(RADIANS(Targets_DW[[#This Row],[TWA (deg)]]+Targets_DW[[#This Row],[LEEWAY (deg)]])))</f>
        <v>#ERROR!</v>
      </c>
      <c r="AD65" s="19" t="str">
        <f>DEGREES(ASIN(Targets_DW[[#This Row],[TWSTop]]*SIN(RADIANS(Targets_DW[[#This Row],[TWA (deg)]]+Targets_DW[[#This Row],[LEEWAY (deg)]]))/Targets_DW[[#This Row],[AWSTop]]))</f>
        <v>#ERROR!</v>
      </c>
      <c r="AE65" s="19" t="str">
        <f>Targets_DW[[#This Row],[AWA+Leeway Top]]-Targets_DW[[#This Row],[ROT (deg)]]</f>
        <v>#ERROR!</v>
      </c>
      <c r="AF65" s="19" t="str">
        <f>Targets_DW[[#This Row],[CLEW (deg)]]+Targets_DW[[#This Row],[TWIST (deg)]]</f>
        <v>#ERROR!</v>
      </c>
      <c r="AG65" s="22" t="str">
        <f>Targets_DW[[#This Row],[AWA+Leeway Top]]-Targets_DW[[#This Row],[CA6]]</f>
        <v>#ERROR!</v>
      </c>
      <c r="AH65" s="19" t="str">
        <f>Targets_DW[[#This Row],[AWA+Leeway]]-Targets_DW[[#This Row],[JibLead (deg)]]</f>
        <v>#ERROR!</v>
      </c>
    </row>
    <row r="66" ht="14.25" customHeight="1">
      <c r="A66" s="20" t="s">
        <v>39</v>
      </c>
      <c r="B66" s="21" t="s">
        <v>38</v>
      </c>
      <c r="C66" s="21" t="s">
        <v>37</v>
      </c>
      <c r="D66" s="21">
        <v>24.0</v>
      </c>
      <c r="E66" s="21" t="str">
        <f t="shared" si="1"/>
        <v>H2_LAB2_LARW2-24m</v>
      </c>
      <c r="F66" s="21">
        <v>14.0</v>
      </c>
      <c r="G66" s="19" t="str">
        <f>ABS(Targets_DW[[#This Row],[BSP (km/h)]]*COS(RADIANS(Targets_DW[[#This Row],[TWA (deg)]]+Targets_DW[[#This Row],[LEEWAY (deg)]])))</f>
        <v>#ERROR!</v>
      </c>
      <c r="H66" s="19">
        <v>19.0</v>
      </c>
      <c r="I66" s="19">
        <v>133.0</v>
      </c>
      <c r="J66" s="19">
        <v>1.0</v>
      </c>
      <c r="K66" s="19">
        <v>4.5</v>
      </c>
      <c r="L66" s="19">
        <v>-0.8</v>
      </c>
      <c r="M66" s="19" t="str">
        <f>Targets_DW[[#This Row],[CANT (deg)]]-Targets_DW[[#This Row],[HEEL (deg)]]</f>
        <v>#ERROR!</v>
      </c>
      <c r="N66" s="19"/>
      <c r="O66" s="19">
        <v>0.0</v>
      </c>
      <c r="P66" s="19">
        <v>2.6</v>
      </c>
      <c r="Q66" s="19">
        <v>-0.3</v>
      </c>
      <c r="R66" s="19">
        <v>-35.0</v>
      </c>
      <c r="S66" s="19" t="str">
        <f>Targets_DW[[#This Row],[CLEW (deg)]]-0.5*Targets_DW[[#This Row],[CA1 (deg)]]</f>
        <v>#ERROR!</v>
      </c>
      <c r="T66" s="19">
        <v>25.0</v>
      </c>
      <c r="U66" s="19">
        <v>9.2</v>
      </c>
      <c r="V66" s="19">
        <v>77.0</v>
      </c>
      <c r="W66" s="19">
        <v>10.5</v>
      </c>
      <c r="X66" s="19"/>
      <c r="Y66" s="19" t="str">
        <f>SQRT(Targets_DW[[#This Row],[TWS (km/h)]]^2+Targets_DW[[#This Row],[BSP (km/h)]]^2+2*Targets_DW[[#This Row],[TWS (km/h)]]*Targets_DW[[#This Row],[BSP (km/h)]]*COS(RADIANS(Targets_DW[[#This Row],[TWA (deg)]]+Targets_DW[[#This Row],[LEEWAY (deg)]])))</f>
        <v>#ERROR!</v>
      </c>
      <c r="Z66" s="19" t="str">
        <f>DEGREES(ASIN(Targets_DW[[#This Row],[TWS (km/h)]]*SIN(RADIANS(Targets_DW[[#This Row],[TWA (deg)]]+Targets_DW[[#This Row],[LEEWAY (deg)]]))/Targets_DW[[#This Row],[AWS]]))</f>
        <v>#ERROR!</v>
      </c>
      <c r="AA66" s="19" t="str">
        <f>Targets_DW[[#This Row],[AWA+Leeway]]-Targets_DW[[#This Row],[ROT (deg)]]</f>
        <v>#ERROR!</v>
      </c>
      <c r="AB66" s="19" t="str">
        <f>Targets_DW[[#This Row],[TWS (km/h)]]*(Targets_DW[[#This Row],[Wing]]/10)^0.1</f>
        <v>#ERROR!</v>
      </c>
      <c r="AC66" s="19" t="str">
        <f>SQRT(Targets_DW[[#This Row],[TWSTop]]^2+Targets_DW[[#This Row],[BSP (km/h)]]^2+2*Targets_DW[[#This Row],[BSP (km/h)]]*Targets_DW[[#This Row],[TWSTop]]*COS(RADIANS(Targets_DW[[#This Row],[TWA (deg)]]+Targets_DW[[#This Row],[LEEWAY (deg)]])))</f>
        <v>#ERROR!</v>
      </c>
      <c r="AD66" s="19" t="str">
        <f>DEGREES(ASIN(Targets_DW[[#This Row],[TWSTop]]*SIN(RADIANS(Targets_DW[[#This Row],[TWA (deg)]]+Targets_DW[[#This Row],[LEEWAY (deg)]]))/Targets_DW[[#This Row],[AWSTop]]))</f>
        <v>#ERROR!</v>
      </c>
      <c r="AE66" s="19" t="str">
        <f>Targets_DW[[#This Row],[AWA+Leeway Top]]-Targets_DW[[#This Row],[ROT (deg)]]</f>
        <v>#ERROR!</v>
      </c>
      <c r="AF66" s="19" t="str">
        <f>Targets_DW[[#This Row],[CLEW (deg)]]+Targets_DW[[#This Row],[TWIST (deg)]]</f>
        <v>#ERROR!</v>
      </c>
      <c r="AG66" s="22" t="str">
        <f>Targets_DW[[#This Row],[AWA+Leeway Top]]-Targets_DW[[#This Row],[CA6]]</f>
        <v>#ERROR!</v>
      </c>
      <c r="AH66" s="19" t="str">
        <f>Targets_DW[[#This Row],[AWA+Leeway]]-Targets_DW[[#This Row],[JibLead (deg)]]</f>
        <v>#ERROR!</v>
      </c>
    </row>
    <row r="67" ht="14.25" customHeight="1">
      <c r="A67" s="23" t="s">
        <v>40</v>
      </c>
      <c r="B67" s="24" t="s">
        <v>38</v>
      </c>
      <c r="C67" s="24" t="s">
        <v>37</v>
      </c>
      <c r="D67" s="24">
        <v>24.0</v>
      </c>
      <c r="E67" s="24" t="str">
        <f t="shared" si="1"/>
        <v>H1-2B_LAB2_LARW2-24m</v>
      </c>
      <c r="F67" s="24">
        <v>12.0</v>
      </c>
      <c r="G67" s="25" t="str">
        <f>ABS(Targets_DW[[#This Row],[BSP (km/h)]]*COS(RADIANS(Targets_DW[[#This Row],[TWA (deg)]]+Targets_DW[[#This Row],[LEEWAY (deg)]])))</f>
        <v>#ERROR!</v>
      </c>
      <c r="H67" s="25">
        <v>24.5</v>
      </c>
      <c r="I67" s="25">
        <v>114.0</v>
      </c>
      <c r="J67" s="25">
        <v>3.0</v>
      </c>
      <c r="K67" s="25">
        <v>0.0</v>
      </c>
      <c r="L67" s="25">
        <v>-8.0</v>
      </c>
      <c r="M67" s="25" t="str">
        <f>Targets_DW[[#This Row],[CANT (deg)]]-Targets_DW[[#This Row],[HEEL (deg)]]</f>
        <v>#ERROR!</v>
      </c>
      <c r="N67" s="25"/>
      <c r="O67" s="25">
        <v>0.0</v>
      </c>
      <c r="P67" s="25">
        <v>3.0</v>
      </c>
      <c r="Q67" s="25">
        <v>-0.5</v>
      </c>
      <c r="R67" s="25">
        <v>-35.0</v>
      </c>
      <c r="S67" s="25" t="str">
        <f>Targets_DW[[#This Row],[CLEW (deg)]]-0.5*Targets_DW[[#This Row],[CA1 (deg)]]</f>
        <v>#ERROR!</v>
      </c>
      <c r="T67" s="25">
        <v>2.0</v>
      </c>
      <c r="U67" s="25">
        <v>10.2</v>
      </c>
      <c r="V67" s="25">
        <v>100.0</v>
      </c>
      <c r="W67" s="25">
        <v>10.5</v>
      </c>
      <c r="X67" s="25"/>
      <c r="Y67" s="25" t="str">
        <f>SQRT(Targets_DW[[#This Row],[TWS (km/h)]]^2+Targets_DW[[#This Row],[BSP (km/h)]]^2+2*Targets_DW[[#This Row],[TWS (km/h)]]*Targets_DW[[#This Row],[BSP (km/h)]]*COS(RADIANS(Targets_DW[[#This Row],[TWA (deg)]]+Targets_DW[[#This Row],[LEEWAY (deg)]])))</f>
        <v>#ERROR!</v>
      </c>
      <c r="Z67" s="25" t="str">
        <f>DEGREES(ASIN(Targets_DW[[#This Row],[TWS (km/h)]]*SIN(RADIANS(Targets_DW[[#This Row],[TWA (deg)]]+Targets_DW[[#This Row],[LEEWAY (deg)]]))/Targets_DW[[#This Row],[AWS]]))</f>
        <v>#ERROR!</v>
      </c>
      <c r="AA67" s="25" t="str">
        <f>Targets_DW[[#This Row],[AWA+Leeway]]-Targets_DW[[#This Row],[ROT (deg)]]</f>
        <v>#ERROR!</v>
      </c>
      <c r="AB67" s="25" t="str">
        <f>Targets_DW[[#This Row],[TWS (km/h)]]*(Targets_DW[[#This Row],[Wing]]/10)^0.1</f>
        <v>#ERROR!</v>
      </c>
      <c r="AC67" s="25" t="str">
        <f>SQRT(Targets_DW[[#This Row],[TWSTop]]^2+Targets_DW[[#This Row],[BSP (km/h)]]^2+2*Targets_DW[[#This Row],[BSP (km/h)]]*Targets_DW[[#This Row],[TWSTop]]*COS(RADIANS(Targets_DW[[#This Row],[TWA (deg)]]+Targets_DW[[#This Row],[LEEWAY (deg)]])))</f>
        <v>#ERROR!</v>
      </c>
      <c r="AD67" s="25" t="str">
        <f>DEGREES(ASIN(Targets_DW[[#This Row],[TWSTop]]*SIN(RADIANS(Targets_DW[[#This Row],[TWA (deg)]]+Targets_DW[[#This Row],[LEEWAY (deg)]]))/Targets_DW[[#This Row],[AWSTop]]))</f>
        <v>#ERROR!</v>
      </c>
      <c r="AE67" s="25" t="str">
        <f>Targets_DW[[#This Row],[AWA+Leeway Top]]-Targets_DW[[#This Row],[ROT (deg)]]</f>
        <v>#ERROR!</v>
      </c>
      <c r="AF67" s="25" t="str">
        <f>Targets_DW[[#This Row],[CLEW (deg)]]+Targets_DW[[#This Row],[TWIST (deg)]]</f>
        <v>#ERROR!</v>
      </c>
      <c r="AG67" s="26" t="str">
        <f>Targets_DW[[#This Row],[AWA+Leeway Top]]-Targets_DW[[#This Row],[CA6]]</f>
        <v>#ERROR!</v>
      </c>
      <c r="AH67" s="25" t="str">
        <f>Targets_DW[[#This Row],[AWA+Leeway]]-Targets_DW[[#This Row],[JibLead (deg)]]</f>
        <v>#ERROR!</v>
      </c>
    </row>
    <row r="68" ht="14.25" customHeight="1">
      <c r="A68" s="23" t="s">
        <v>40</v>
      </c>
      <c r="B68" s="24" t="s">
        <v>38</v>
      </c>
      <c r="C68" s="24" t="s">
        <v>37</v>
      </c>
      <c r="D68" s="24">
        <v>24.0</v>
      </c>
      <c r="E68" s="24" t="str">
        <f t="shared" si="1"/>
        <v>H1-2B_LAB2_LARW2-24m</v>
      </c>
      <c r="F68" s="24">
        <v>13.0</v>
      </c>
      <c r="G68" s="25" t="str">
        <f>ABS(Targets_DW[[#This Row],[BSP (km/h)]]*COS(RADIANS(Targets_DW[[#This Row],[TWA (deg)]]+Targets_DW[[#This Row],[LEEWAY (deg)]])))</f>
        <v>#ERROR!</v>
      </c>
      <c r="H68" s="25">
        <v>25.0</v>
      </c>
      <c r="I68" s="25">
        <v>116.5</v>
      </c>
      <c r="J68" s="25">
        <v>3.0</v>
      </c>
      <c r="K68" s="25">
        <v>0.0</v>
      </c>
      <c r="L68" s="25">
        <v>-8.0</v>
      </c>
      <c r="M68" s="25" t="str">
        <f>Targets_DW[[#This Row],[CANT (deg)]]-Targets_DW[[#This Row],[HEEL (deg)]]</f>
        <v>#ERROR!</v>
      </c>
      <c r="N68" s="25"/>
      <c r="O68" s="25">
        <v>0.0</v>
      </c>
      <c r="P68" s="25">
        <v>3.0</v>
      </c>
      <c r="Q68" s="25">
        <v>-0.5</v>
      </c>
      <c r="R68" s="25">
        <v>-35.0</v>
      </c>
      <c r="S68" s="25" t="str">
        <f>Targets_DW[[#This Row],[CLEW (deg)]]-0.5*Targets_DW[[#This Row],[CA1 (deg)]]</f>
        <v>#ERROR!</v>
      </c>
      <c r="T68" s="25">
        <v>4.0</v>
      </c>
      <c r="U68" s="25">
        <v>10.4</v>
      </c>
      <c r="V68" s="25">
        <v>100.0</v>
      </c>
      <c r="W68" s="25">
        <v>10.5</v>
      </c>
      <c r="X68" s="25"/>
      <c r="Y68" s="25" t="str">
        <f>SQRT(Targets_DW[[#This Row],[TWS (km/h)]]^2+Targets_DW[[#This Row],[BSP (km/h)]]^2+2*Targets_DW[[#This Row],[TWS (km/h)]]*Targets_DW[[#This Row],[BSP (km/h)]]*COS(RADIANS(Targets_DW[[#This Row],[TWA (deg)]]+Targets_DW[[#This Row],[LEEWAY (deg)]])))</f>
        <v>#ERROR!</v>
      </c>
      <c r="Z68" s="25" t="str">
        <f>DEGREES(ASIN(Targets_DW[[#This Row],[TWS (km/h)]]*SIN(RADIANS(Targets_DW[[#This Row],[TWA (deg)]]+Targets_DW[[#This Row],[LEEWAY (deg)]]))/Targets_DW[[#This Row],[AWS]]))</f>
        <v>#ERROR!</v>
      </c>
      <c r="AA68" s="25" t="str">
        <f>Targets_DW[[#This Row],[AWA+Leeway]]-Targets_DW[[#This Row],[ROT (deg)]]</f>
        <v>#ERROR!</v>
      </c>
      <c r="AB68" s="25" t="str">
        <f>Targets_DW[[#This Row],[TWS (km/h)]]*(Targets_DW[[#This Row],[Wing]]/10)^0.1</f>
        <v>#ERROR!</v>
      </c>
      <c r="AC68" s="25" t="str">
        <f>SQRT(Targets_DW[[#This Row],[TWSTop]]^2+Targets_DW[[#This Row],[BSP (km/h)]]^2+2*Targets_DW[[#This Row],[BSP (km/h)]]*Targets_DW[[#This Row],[TWSTop]]*COS(RADIANS(Targets_DW[[#This Row],[TWA (deg)]]+Targets_DW[[#This Row],[LEEWAY (deg)]])))</f>
        <v>#ERROR!</v>
      </c>
      <c r="AD68" s="25" t="str">
        <f>DEGREES(ASIN(Targets_DW[[#This Row],[TWSTop]]*SIN(RADIANS(Targets_DW[[#This Row],[TWA (deg)]]+Targets_DW[[#This Row],[LEEWAY (deg)]]))/Targets_DW[[#This Row],[AWSTop]]))</f>
        <v>#ERROR!</v>
      </c>
      <c r="AE68" s="25" t="str">
        <f>Targets_DW[[#This Row],[AWA+Leeway Top]]-Targets_DW[[#This Row],[ROT (deg)]]</f>
        <v>#ERROR!</v>
      </c>
      <c r="AF68" s="25" t="str">
        <f>Targets_DW[[#This Row],[CLEW (deg)]]+Targets_DW[[#This Row],[TWIST (deg)]]</f>
        <v>#ERROR!</v>
      </c>
      <c r="AG68" s="26" t="str">
        <f>Targets_DW[[#This Row],[AWA+Leeway Top]]-Targets_DW[[#This Row],[CA6]]</f>
        <v>#ERROR!</v>
      </c>
      <c r="AH68" s="25" t="str">
        <f>Targets_DW[[#This Row],[AWA+Leeway]]-Targets_DW[[#This Row],[JibLead (deg)]]</f>
        <v>#ERROR!</v>
      </c>
    </row>
    <row r="69" ht="14.25" customHeight="1">
      <c r="A69" s="23" t="s">
        <v>40</v>
      </c>
      <c r="B69" s="24" t="s">
        <v>38</v>
      </c>
      <c r="C69" s="24" t="s">
        <v>37</v>
      </c>
      <c r="D69" s="24">
        <v>24.0</v>
      </c>
      <c r="E69" s="24" t="str">
        <f t="shared" si="1"/>
        <v>H1-2B_LAB2_LARW2-24m</v>
      </c>
      <c r="F69" s="24">
        <v>14.0</v>
      </c>
      <c r="G69" s="25" t="str">
        <f>ABS(Targets_DW[[#This Row],[BSP (km/h)]]*COS(RADIANS(Targets_DW[[#This Row],[TWA (deg)]]+Targets_DW[[#This Row],[LEEWAY (deg)]])))</f>
        <v>#ERROR!</v>
      </c>
      <c r="H69" s="25">
        <v>25.4</v>
      </c>
      <c r="I69" s="25">
        <v>118.0</v>
      </c>
      <c r="J69" s="25">
        <v>3.0</v>
      </c>
      <c r="K69" s="25">
        <v>0.0</v>
      </c>
      <c r="L69" s="25">
        <v>-8.0</v>
      </c>
      <c r="M69" s="25" t="str">
        <f>Targets_DW[[#This Row],[CANT (deg)]]-Targets_DW[[#This Row],[HEEL (deg)]]</f>
        <v>#ERROR!</v>
      </c>
      <c r="N69" s="25"/>
      <c r="O69" s="25">
        <v>0.0</v>
      </c>
      <c r="P69" s="25">
        <v>3.0</v>
      </c>
      <c r="Q69" s="25">
        <v>-0.5</v>
      </c>
      <c r="R69" s="25">
        <v>-35.0</v>
      </c>
      <c r="S69" s="25" t="str">
        <f>Targets_DW[[#This Row],[CLEW (deg)]]-0.5*Targets_DW[[#This Row],[CA1 (deg)]]</f>
        <v>#ERROR!</v>
      </c>
      <c r="T69" s="25">
        <v>6.0</v>
      </c>
      <c r="U69" s="25">
        <v>10.8</v>
      </c>
      <c r="V69" s="25">
        <v>100.0</v>
      </c>
      <c r="W69" s="25">
        <v>10.5</v>
      </c>
      <c r="X69" s="25"/>
      <c r="Y69" s="25" t="str">
        <f>SQRT(Targets_DW[[#This Row],[TWS (km/h)]]^2+Targets_DW[[#This Row],[BSP (km/h)]]^2+2*Targets_DW[[#This Row],[TWS (km/h)]]*Targets_DW[[#This Row],[BSP (km/h)]]*COS(RADIANS(Targets_DW[[#This Row],[TWA (deg)]]+Targets_DW[[#This Row],[LEEWAY (deg)]])))</f>
        <v>#ERROR!</v>
      </c>
      <c r="Z69" s="25" t="str">
        <f>DEGREES(ASIN(Targets_DW[[#This Row],[TWS (km/h)]]*SIN(RADIANS(Targets_DW[[#This Row],[TWA (deg)]]+Targets_DW[[#This Row],[LEEWAY (deg)]]))/Targets_DW[[#This Row],[AWS]]))</f>
        <v>#ERROR!</v>
      </c>
      <c r="AA69" s="25" t="str">
        <f>Targets_DW[[#This Row],[AWA+Leeway]]-Targets_DW[[#This Row],[ROT (deg)]]</f>
        <v>#ERROR!</v>
      </c>
      <c r="AB69" s="25" t="str">
        <f>Targets_DW[[#This Row],[TWS (km/h)]]*(Targets_DW[[#This Row],[Wing]]/10)^0.1</f>
        <v>#ERROR!</v>
      </c>
      <c r="AC69" s="25" t="str">
        <f>SQRT(Targets_DW[[#This Row],[TWSTop]]^2+Targets_DW[[#This Row],[BSP (km/h)]]^2+2*Targets_DW[[#This Row],[BSP (km/h)]]*Targets_DW[[#This Row],[TWSTop]]*COS(RADIANS(Targets_DW[[#This Row],[TWA (deg)]]+Targets_DW[[#This Row],[LEEWAY (deg)]])))</f>
        <v>#ERROR!</v>
      </c>
      <c r="AD69" s="25" t="str">
        <f>DEGREES(ASIN(Targets_DW[[#This Row],[TWSTop]]*SIN(RADIANS(Targets_DW[[#This Row],[TWA (deg)]]+Targets_DW[[#This Row],[LEEWAY (deg)]]))/Targets_DW[[#This Row],[AWSTop]]))</f>
        <v>#ERROR!</v>
      </c>
      <c r="AE69" s="25" t="str">
        <f>Targets_DW[[#This Row],[AWA+Leeway Top]]-Targets_DW[[#This Row],[ROT (deg)]]</f>
        <v>#ERROR!</v>
      </c>
      <c r="AF69" s="25" t="str">
        <f>Targets_DW[[#This Row],[CLEW (deg)]]+Targets_DW[[#This Row],[TWIST (deg)]]</f>
        <v>#ERROR!</v>
      </c>
      <c r="AG69" s="26" t="str">
        <f>Targets_DW[[#This Row],[AWA+Leeway Top]]-Targets_DW[[#This Row],[CA6]]</f>
        <v>#ERROR!</v>
      </c>
      <c r="AH69" s="25" t="str">
        <f>Targets_DW[[#This Row],[AWA+Leeway]]-Targets_DW[[#This Row],[JibLead (deg)]]</f>
        <v>#ERROR!</v>
      </c>
    </row>
    <row r="70" ht="14.25" customHeight="1">
      <c r="A70" s="27" t="s">
        <v>41</v>
      </c>
      <c r="B70" s="28" t="s">
        <v>38</v>
      </c>
      <c r="C70" s="28" t="s">
        <v>37</v>
      </c>
      <c r="D70" s="28">
        <v>24.0</v>
      </c>
      <c r="E70" s="28" t="str">
        <f t="shared" si="1"/>
        <v>H1_LAB2_LARW2-24m</v>
      </c>
      <c r="F70" s="28">
        <v>14.0</v>
      </c>
      <c r="G70" s="29" t="str">
        <f>ABS(Targets_DW[[#This Row],[BSP (km/h)]]*COS(RADIANS(Targets_DW[[#This Row],[TWA (deg)]]+Targets_DW[[#This Row],[LEEWAY (deg)]])))</f>
        <v>#ERROR!</v>
      </c>
      <c r="H70" s="29">
        <v>28.8</v>
      </c>
      <c r="I70" s="29">
        <v>109.0</v>
      </c>
      <c r="J70" s="29">
        <v>2.0</v>
      </c>
      <c r="K70" s="29">
        <v>-1.0</v>
      </c>
      <c r="L70" s="29">
        <v>-10.0</v>
      </c>
      <c r="M70" s="29" t="str">
        <f>Targets_DW[[#This Row],[CANT (deg)]]-Targets_DW[[#This Row],[HEEL (deg)]]</f>
        <v>#ERROR!</v>
      </c>
      <c r="N70" s="29"/>
      <c r="O70" s="29">
        <v>0.0</v>
      </c>
      <c r="P70" s="29">
        <v>3.0</v>
      </c>
      <c r="Q70" s="29">
        <v>-0.8</v>
      </c>
      <c r="R70" s="29">
        <v>-35.0</v>
      </c>
      <c r="S70" s="29" t="str">
        <f>Targets_DW[[#This Row],[CLEW (deg)]]-0.5*Targets_DW[[#This Row],[CA1 (deg)]]</f>
        <v>#ERROR!</v>
      </c>
      <c r="T70" s="29">
        <v>1.0</v>
      </c>
      <c r="U70" s="29">
        <v>11.5</v>
      </c>
      <c r="V70" s="29">
        <v>140.0</v>
      </c>
      <c r="W70" s="29">
        <v>10.5</v>
      </c>
      <c r="X70" s="29"/>
      <c r="Y70" s="29" t="str">
        <f>SQRT(Targets_DW[[#This Row],[TWS (km/h)]]^2+Targets_DW[[#This Row],[BSP (km/h)]]^2+2*Targets_DW[[#This Row],[TWS (km/h)]]*Targets_DW[[#This Row],[BSP (km/h)]]*COS(RADIANS(Targets_DW[[#This Row],[TWA (deg)]]+Targets_DW[[#This Row],[LEEWAY (deg)]])))</f>
        <v>#ERROR!</v>
      </c>
      <c r="Z70" s="29" t="str">
        <f>DEGREES(ASIN(Targets_DW[[#This Row],[TWS (km/h)]]*SIN(RADIANS(Targets_DW[[#This Row],[TWA (deg)]]+Targets_DW[[#This Row],[LEEWAY (deg)]]))/Targets_DW[[#This Row],[AWS]]))</f>
        <v>#ERROR!</v>
      </c>
      <c r="AA70" s="29" t="str">
        <f>Targets_DW[[#This Row],[AWA+Leeway]]-Targets_DW[[#This Row],[ROT (deg)]]</f>
        <v>#ERROR!</v>
      </c>
      <c r="AB70" s="29" t="str">
        <f>Targets_DW[[#This Row],[TWS (km/h)]]*(Targets_DW[[#This Row],[Wing]]/10)^0.1</f>
        <v>#ERROR!</v>
      </c>
      <c r="AC70" s="29" t="str">
        <f>SQRT(Targets_DW[[#This Row],[TWSTop]]^2+Targets_DW[[#This Row],[BSP (km/h)]]^2+2*Targets_DW[[#This Row],[BSP (km/h)]]*Targets_DW[[#This Row],[TWSTop]]*COS(RADIANS(Targets_DW[[#This Row],[TWA (deg)]]+Targets_DW[[#This Row],[LEEWAY (deg)]])))</f>
        <v>#ERROR!</v>
      </c>
      <c r="AD70" s="29" t="str">
        <f>DEGREES(ASIN(Targets_DW[[#This Row],[TWSTop]]*SIN(RADIANS(Targets_DW[[#This Row],[TWA (deg)]]+Targets_DW[[#This Row],[LEEWAY (deg)]]))/Targets_DW[[#This Row],[AWSTop]]))</f>
        <v>#ERROR!</v>
      </c>
      <c r="AE70" s="29" t="str">
        <f>Targets_DW[[#This Row],[AWA+Leeway Top]]-Targets_DW[[#This Row],[ROT (deg)]]</f>
        <v>#ERROR!</v>
      </c>
      <c r="AF70" s="29" t="str">
        <f>Targets_DW[[#This Row],[CLEW (deg)]]+Targets_DW[[#This Row],[TWIST (deg)]]</f>
        <v>#ERROR!</v>
      </c>
      <c r="AG70" s="30" t="str">
        <f>Targets_DW[[#This Row],[AWA+Leeway Top]]-Targets_DW[[#This Row],[CA6]]</f>
        <v>#ERROR!</v>
      </c>
      <c r="AH70" s="29" t="str">
        <f>Targets_DW[[#This Row],[AWA+Leeway]]-Targets_DW[[#This Row],[JibLead (deg)]]</f>
        <v>#ERROR!</v>
      </c>
    </row>
    <row r="71" ht="14.25" customHeight="1">
      <c r="A71" s="15" t="s">
        <v>39</v>
      </c>
      <c r="B71" s="16" t="s">
        <v>38</v>
      </c>
      <c r="C71" s="16" t="s">
        <v>37</v>
      </c>
      <c r="D71" s="16">
        <v>27.5</v>
      </c>
      <c r="E71" s="16" t="str">
        <f t="shared" si="1"/>
        <v>H2_LAB2_LARW2-27.5m</v>
      </c>
      <c r="F71" s="16">
        <v>8.0</v>
      </c>
      <c r="G71" s="17" t="str">
        <f>ABS(Targets_DW[[#This Row],[BSP (km/h)]]*COS(RADIANS(Targets_DW[[#This Row],[TWA (deg)]]+Targets_DW[[#This Row],[LEEWAY (deg)]])))</f>
        <v>#ERROR!</v>
      </c>
      <c r="H71" s="17">
        <v>12.5</v>
      </c>
      <c r="I71" s="17">
        <v>125.0</v>
      </c>
      <c r="J71" s="17">
        <v>1.0</v>
      </c>
      <c r="K71" s="17">
        <v>4.5</v>
      </c>
      <c r="L71" s="17">
        <v>-0.4</v>
      </c>
      <c r="M71" s="17" t="str">
        <f>Targets_DW[[#This Row],[CANT (deg)]]-Targets_DW[[#This Row],[HEEL (deg)]]</f>
        <v>#ERROR!</v>
      </c>
      <c r="N71" s="17"/>
      <c r="O71" s="17">
        <v>0.0</v>
      </c>
      <c r="P71" s="17">
        <v>2.7</v>
      </c>
      <c r="Q71" s="17">
        <v>-0.3</v>
      </c>
      <c r="R71" s="17">
        <v>-35.0</v>
      </c>
      <c r="S71" s="17" t="str">
        <f>Targets_DW[[#This Row],[CLEW (deg)]]-0.5*Targets_DW[[#This Row],[CA1 (deg)]]</f>
        <v>#ERROR!</v>
      </c>
      <c r="T71" s="17">
        <v>12.0</v>
      </c>
      <c r="U71" s="17">
        <v>10.0</v>
      </c>
      <c r="V71" s="17"/>
      <c r="W71" s="17">
        <v>10.5</v>
      </c>
      <c r="X71" s="17"/>
      <c r="Y71" s="17" t="str">
        <f>SQRT(Targets_DW[[#This Row],[TWS (km/h)]]^2+Targets_DW[[#This Row],[BSP (km/h)]]^2+2*Targets_DW[[#This Row],[TWS (km/h)]]*Targets_DW[[#This Row],[BSP (km/h)]]*COS(RADIANS(Targets_DW[[#This Row],[TWA (deg)]]+Targets_DW[[#This Row],[LEEWAY (deg)]])))</f>
        <v>#ERROR!</v>
      </c>
      <c r="Z71" s="17" t="str">
        <f>DEGREES(ASIN(Targets_DW[[#This Row],[TWS (km/h)]]*SIN(RADIANS(Targets_DW[[#This Row],[TWA (deg)]]+Targets_DW[[#This Row],[LEEWAY (deg)]]))/Targets_DW[[#This Row],[AWS]]))</f>
        <v>#ERROR!</v>
      </c>
      <c r="AA71" s="17" t="str">
        <f>Targets_DW[[#This Row],[AWA+Leeway]]-Targets_DW[[#This Row],[ROT (deg)]]</f>
        <v>#ERROR!</v>
      </c>
      <c r="AB71" s="17" t="str">
        <f>Targets_DW[[#This Row],[TWS (km/h)]]*(Targets_DW[[#This Row],[Wing]]/10)^0.1</f>
        <v>#ERROR!</v>
      </c>
      <c r="AC71" s="17" t="str">
        <f>SQRT(Targets_DW[[#This Row],[TWSTop]]^2+Targets_DW[[#This Row],[BSP (km/h)]]^2+2*Targets_DW[[#This Row],[BSP (km/h)]]*Targets_DW[[#This Row],[TWSTop]]*COS(RADIANS(Targets_DW[[#This Row],[TWA (deg)]]+Targets_DW[[#This Row],[LEEWAY (deg)]])))</f>
        <v>#ERROR!</v>
      </c>
      <c r="AD71" s="17" t="str">
        <f>DEGREES(ASIN(Targets_DW[[#This Row],[TWSTop]]*SIN(RADIANS(Targets_DW[[#This Row],[TWA (deg)]]+Targets_DW[[#This Row],[LEEWAY (deg)]]))/Targets_DW[[#This Row],[AWSTop]]))</f>
        <v>#ERROR!</v>
      </c>
      <c r="AE71" s="17" t="str">
        <f>Targets_DW[[#This Row],[AWA+Leeway Top]]-Targets_DW[[#This Row],[ROT (deg)]]</f>
        <v>#ERROR!</v>
      </c>
      <c r="AF71" s="17" t="str">
        <f>Targets_DW[[#This Row],[CLEW (deg)]]+Targets_DW[[#This Row],[TWIST (deg)]]</f>
        <v>#ERROR!</v>
      </c>
      <c r="AG71" s="18" t="str">
        <f>Targets_DW[[#This Row],[AWA+Leeway Top]]-Targets_DW[[#This Row],[CA6]]</f>
        <v>#ERROR!</v>
      </c>
      <c r="AH71" s="19" t="str">
        <f>Targets_DW[[#This Row],[AWA+Leeway]]-Targets_DW[[#This Row],[JibLead (deg)]]</f>
        <v>#ERROR!</v>
      </c>
    </row>
    <row r="72" ht="14.25" customHeight="1">
      <c r="A72" s="20" t="s">
        <v>39</v>
      </c>
      <c r="B72" s="21" t="s">
        <v>38</v>
      </c>
      <c r="C72" s="21" t="s">
        <v>37</v>
      </c>
      <c r="D72" s="21">
        <v>27.5</v>
      </c>
      <c r="E72" s="21" t="str">
        <f t="shared" si="1"/>
        <v>H2_LAB2_LARW2-27.5m</v>
      </c>
      <c r="F72" s="21">
        <v>9.0</v>
      </c>
      <c r="G72" s="19" t="str">
        <f>ABS(Targets_DW[[#This Row],[BSP (km/h)]]*COS(RADIANS(Targets_DW[[#This Row],[TWA (deg)]]+Targets_DW[[#This Row],[LEEWAY (deg)]])))</f>
        <v>#ERROR!</v>
      </c>
      <c r="H72" s="19">
        <v>13.0</v>
      </c>
      <c r="I72" s="19">
        <v>130.0</v>
      </c>
      <c r="J72" s="19">
        <v>0.8</v>
      </c>
      <c r="K72" s="19">
        <v>4.5</v>
      </c>
      <c r="L72" s="19">
        <v>-0.5</v>
      </c>
      <c r="M72" s="19" t="str">
        <f>Targets_DW[[#This Row],[CANT (deg)]]-Targets_DW[[#This Row],[HEEL (deg)]]</f>
        <v>#ERROR!</v>
      </c>
      <c r="N72" s="19"/>
      <c r="O72" s="19">
        <v>0.0</v>
      </c>
      <c r="P72" s="19">
        <v>2.7</v>
      </c>
      <c r="Q72" s="19">
        <v>-0.3</v>
      </c>
      <c r="R72" s="19">
        <v>-35.0</v>
      </c>
      <c r="S72" s="19" t="str">
        <f>Targets_DW[[#This Row],[CLEW (deg)]]-0.5*Targets_DW[[#This Row],[CA1 (deg)]]</f>
        <v>#ERROR!</v>
      </c>
      <c r="T72" s="19">
        <v>16.0</v>
      </c>
      <c r="U72" s="19">
        <v>10.8</v>
      </c>
      <c r="V72" s="19"/>
      <c r="W72" s="19">
        <v>10.5</v>
      </c>
      <c r="X72" s="19"/>
      <c r="Y72" s="19" t="str">
        <f>SQRT(Targets_DW[[#This Row],[TWS (km/h)]]^2+Targets_DW[[#This Row],[BSP (km/h)]]^2+2*Targets_DW[[#This Row],[TWS (km/h)]]*Targets_DW[[#This Row],[BSP (km/h)]]*COS(RADIANS(Targets_DW[[#This Row],[TWA (deg)]]+Targets_DW[[#This Row],[LEEWAY (deg)]])))</f>
        <v>#ERROR!</v>
      </c>
      <c r="Z72" s="19" t="str">
        <f>DEGREES(ASIN(Targets_DW[[#This Row],[TWS (km/h)]]*SIN(RADIANS(Targets_DW[[#This Row],[TWA (deg)]]+Targets_DW[[#This Row],[LEEWAY (deg)]]))/Targets_DW[[#This Row],[AWS]]))</f>
        <v>#ERROR!</v>
      </c>
      <c r="AA72" s="19" t="str">
        <f>Targets_DW[[#This Row],[AWA+Leeway]]-Targets_DW[[#This Row],[ROT (deg)]]</f>
        <v>#ERROR!</v>
      </c>
      <c r="AB72" s="19" t="str">
        <f>Targets_DW[[#This Row],[TWS (km/h)]]*(Targets_DW[[#This Row],[Wing]]/10)^0.1</f>
        <v>#ERROR!</v>
      </c>
      <c r="AC72" s="19" t="str">
        <f>SQRT(Targets_DW[[#This Row],[TWSTop]]^2+Targets_DW[[#This Row],[BSP (km/h)]]^2+2*Targets_DW[[#This Row],[BSP (km/h)]]*Targets_DW[[#This Row],[TWSTop]]*COS(RADIANS(Targets_DW[[#This Row],[TWA (deg)]]+Targets_DW[[#This Row],[LEEWAY (deg)]])))</f>
        <v>#ERROR!</v>
      </c>
      <c r="AD72" s="19" t="str">
        <f>DEGREES(ASIN(Targets_DW[[#This Row],[TWSTop]]*SIN(RADIANS(Targets_DW[[#This Row],[TWA (deg)]]+Targets_DW[[#This Row],[LEEWAY (deg)]]))/Targets_DW[[#This Row],[AWSTop]]))</f>
        <v>#ERROR!</v>
      </c>
      <c r="AE72" s="19" t="str">
        <f>Targets_DW[[#This Row],[AWA+Leeway Top]]-Targets_DW[[#This Row],[ROT (deg)]]</f>
        <v>#ERROR!</v>
      </c>
      <c r="AF72" s="19" t="str">
        <f>Targets_DW[[#This Row],[CLEW (deg)]]+Targets_DW[[#This Row],[TWIST (deg)]]</f>
        <v>#ERROR!</v>
      </c>
      <c r="AG72" s="22" t="str">
        <f>Targets_DW[[#This Row],[AWA+Leeway Top]]-Targets_DW[[#This Row],[CA6]]</f>
        <v>#ERROR!</v>
      </c>
      <c r="AH72" s="19" t="str">
        <f>Targets_DW[[#This Row],[AWA+Leeway]]-Targets_DW[[#This Row],[JibLead (deg)]]</f>
        <v>#ERROR!</v>
      </c>
    </row>
    <row r="73" ht="14.25" customHeight="1">
      <c r="A73" s="20" t="s">
        <v>39</v>
      </c>
      <c r="B73" s="21" t="s">
        <v>38</v>
      </c>
      <c r="C73" s="21" t="s">
        <v>37</v>
      </c>
      <c r="D73" s="21">
        <v>27.5</v>
      </c>
      <c r="E73" s="21" t="str">
        <f t="shared" si="1"/>
        <v>H2_LAB2_LARW2-27.5m</v>
      </c>
      <c r="F73" s="21">
        <v>10.0</v>
      </c>
      <c r="G73" s="19" t="str">
        <f>ABS(Targets_DW[[#This Row],[BSP (km/h)]]*COS(RADIANS(Targets_DW[[#This Row],[TWA (deg)]]+Targets_DW[[#This Row],[LEEWAY (deg)]])))</f>
        <v>#ERROR!</v>
      </c>
      <c r="H73" s="19">
        <v>14.0</v>
      </c>
      <c r="I73" s="19">
        <v>133.0</v>
      </c>
      <c r="J73" s="19">
        <v>0.7</v>
      </c>
      <c r="K73" s="19">
        <v>4.5</v>
      </c>
      <c r="L73" s="19">
        <v>-0.6</v>
      </c>
      <c r="M73" s="19" t="str">
        <f>Targets_DW[[#This Row],[CANT (deg)]]-Targets_DW[[#This Row],[HEEL (deg)]]</f>
        <v>#ERROR!</v>
      </c>
      <c r="N73" s="19"/>
      <c r="O73" s="19">
        <v>0.0</v>
      </c>
      <c r="P73" s="19">
        <v>2.7</v>
      </c>
      <c r="Q73" s="19">
        <v>-0.3</v>
      </c>
      <c r="R73" s="19">
        <v>-35.0</v>
      </c>
      <c r="S73" s="19" t="str">
        <f>Targets_DW[[#This Row],[CLEW (deg)]]-0.5*Targets_DW[[#This Row],[CA1 (deg)]]</f>
        <v>#ERROR!</v>
      </c>
      <c r="T73" s="19">
        <v>18.0</v>
      </c>
      <c r="U73" s="19">
        <v>11.0</v>
      </c>
      <c r="V73" s="19"/>
      <c r="W73" s="19">
        <v>10.5</v>
      </c>
      <c r="X73" s="19"/>
      <c r="Y73" s="19" t="str">
        <f>SQRT(Targets_DW[[#This Row],[TWS (km/h)]]^2+Targets_DW[[#This Row],[BSP (km/h)]]^2+2*Targets_DW[[#This Row],[TWS (km/h)]]*Targets_DW[[#This Row],[BSP (km/h)]]*COS(RADIANS(Targets_DW[[#This Row],[TWA (deg)]]+Targets_DW[[#This Row],[LEEWAY (deg)]])))</f>
        <v>#ERROR!</v>
      </c>
      <c r="Z73" s="19" t="str">
        <f>DEGREES(ASIN(Targets_DW[[#This Row],[TWS (km/h)]]*SIN(RADIANS(Targets_DW[[#This Row],[TWA (deg)]]+Targets_DW[[#This Row],[LEEWAY (deg)]]))/Targets_DW[[#This Row],[AWS]]))</f>
        <v>#ERROR!</v>
      </c>
      <c r="AA73" s="19" t="str">
        <f>Targets_DW[[#This Row],[AWA+Leeway]]-Targets_DW[[#This Row],[ROT (deg)]]</f>
        <v>#ERROR!</v>
      </c>
      <c r="AB73" s="19" t="str">
        <f>Targets_DW[[#This Row],[TWS (km/h)]]*(Targets_DW[[#This Row],[Wing]]/10)^0.1</f>
        <v>#ERROR!</v>
      </c>
      <c r="AC73" s="19" t="str">
        <f>SQRT(Targets_DW[[#This Row],[TWSTop]]^2+Targets_DW[[#This Row],[BSP (km/h)]]^2+2*Targets_DW[[#This Row],[BSP (km/h)]]*Targets_DW[[#This Row],[TWSTop]]*COS(RADIANS(Targets_DW[[#This Row],[TWA (deg)]]+Targets_DW[[#This Row],[LEEWAY (deg)]])))</f>
        <v>#ERROR!</v>
      </c>
      <c r="AD73" s="19" t="str">
        <f>DEGREES(ASIN(Targets_DW[[#This Row],[TWSTop]]*SIN(RADIANS(Targets_DW[[#This Row],[TWA (deg)]]+Targets_DW[[#This Row],[LEEWAY (deg)]]))/Targets_DW[[#This Row],[AWSTop]]))</f>
        <v>#ERROR!</v>
      </c>
      <c r="AE73" s="19" t="str">
        <f>Targets_DW[[#This Row],[AWA+Leeway Top]]-Targets_DW[[#This Row],[ROT (deg)]]</f>
        <v>#ERROR!</v>
      </c>
      <c r="AF73" s="19" t="str">
        <f>Targets_DW[[#This Row],[CLEW (deg)]]+Targets_DW[[#This Row],[TWIST (deg)]]</f>
        <v>#ERROR!</v>
      </c>
      <c r="AG73" s="22" t="str">
        <f>Targets_DW[[#This Row],[AWA+Leeway Top]]-Targets_DW[[#This Row],[CA6]]</f>
        <v>#ERROR!</v>
      </c>
      <c r="AH73" s="19" t="str">
        <f>Targets_DW[[#This Row],[AWA+Leeway]]-Targets_DW[[#This Row],[JibLead (deg)]]</f>
        <v>#ERROR!</v>
      </c>
    </row>
    <row r="74" ht="14.25" customHeight="1">
      <c r="A74" s="20" t="s">
        <v>39</v>
      </c>
      <c r="B74" s="21" t="s">
        <v>38</v>
      </c>
      <c r="C74" s="21" t="s">
        <v>37</v>
      </c>
      <c r="D74" s="21">
        <v>27.5</v>
      </c>
      <c r="E74" s="21" t="str">
        <f t="shared" si="1"/>
        <v>H2_LAB2_LARW2-27.5m</v>
      </c>
      <c r="F74" s="21">
        <v>11.0</v>
      </c>
      <c r="G74" s="19" t="str">
        <f>ABS(Targets_DW[[#This Row],[BSP (km/h)]]*COS(RADIANS(Targets_DW[[#This Row],[TWA (deg)]]+Targets_DW[[#This Row],[LEEWAY (deg)]])))</f>
        <v>#ERROR!</v>
      </c>
      <c r="H74" s="19">
        <v>15.0</v>
      </c>
      <c r="I74" s="19">
        <v>135.0</v>
      </c>
      <c r="J74" s="19">
        <v>0.6</v>
      </c>
      <c r="K74" s="19">
        <v>4.5</v>
      </c>
      <c r="L74" s="19">
        <v>-0.7</v>
      </c>
      <c r="M74" s="19" t="str">
        <f>Targets_DW[[#This Row],[CANT (deg)]]-Targets_DW[[#This Row],[HEEL (deg)]]</f>
        <v>#ERROR!</v>
      </c>
      <c r="N74" s="19"/>
      <c r="O74" s="19">
        <v>0.0</v>
      </c>
      <c r="P74" s="19">
        <v>2.7</v>
      </c>
      <c r="Q74" s="19">
        <v>-0.4</v>
      </c>
      <c r="R74" s="19">
        <v>-35.0</v>
      </c>
      <c r="S74" s="19" t="str">
        <f>Targets_DW[[#This Row],[CLEW (deg)]]-0.5*Targets_DW[[#This Row],[CA1 (deg)]]</f>
        <v>#ERROR!</v>
      </c>
      <c r="T74" s="19">
        <v>20.0</v>
      </c>
      <c r="U74" s="19">
        <v>11.0</v>
      </c>
      <c r="V74" s="19"/>
      <c r="W74" s="19">
        <v>10.5</v>
      </c>
      <c r="X74" s="19"/>
      <c r="Y74" s="19" t="str">
        <f>SQRT(Targets_DW[[#This Row],[TWS (km/h)]]^2+Targets_DW[[#This Row],[BSP (km/h)]]^2+2*Targets_DW[[#This Row],[TWS (km/h)]]*Targets_DW[[#This Row],[BSP (km/h)]]*COS(RADIANS(Targets_DW[[#This Row],[TWA (deg)]]+Targets_DW[[#This Row],[LEEWAY (deg)]])))</f>
        <v>#ERROR!</v>
      </c>
      <c r="Z74" s="19" t="str">
        <f>DEGREES(ASIN(Targets_DW[[#This Row],[TWS (km/h)]]*SIN(RADIANS(Targets_DW[[#This Row],[TWA (deg)]]+Targets_DW[[#This Row],[LEEWAY (deg)]]))/Targets_DW[[#This Row],[AWS]]))</f>
        <v>#ERROR!</v>
      </c>
      <c r="AA74" s="19" t="str">
        <f>Targets_DW[[#This Row],[AWA+Leeway]]-Targets_DW[[#This Row],[ROT (deg)]]</f>
        <v>#ERROR!</v>
      </c>
      <c r="AB74" s="19" t="str">
        <f>Targets_DW[[#This Row],[TWS (km/h)]]*(Targets_DW[[#This Row],[Wing]]/10)^0.1</f>
        <v>#ERROR!</v>
      </c>
      <c r="AC74" s="19" t="str">
        <f>SQRT(Targets_DW[[#This Row],[TWSTop]]^2+Targets_DW[[#This Row],[BSP (km/h)]]^2+2*Targets_DW[[#This Row],[BSP (km/h)]]*Targets_DW[[#This Row],[TWSTop]]*COS(RADIANS(Targets_DW[[#This Row],[TWA (deg)]]+Targets_DW[[#This Row],[LEEWAY (deg)]])))</f>
        <v>#ERROR!</v>
      </c>
      <c r="AD74" s="19" t="str">
        <f>DEGREES(ASIN(Targets_DW[[#This Row],[TWSTop]]*SIN(RADIANS(Targets_DW[[#This Row],[TWA (deg)]]+Targets_DW[[#This Row],[LEEWAY (deg)]]))/Targets_DW[[#This Row],[AWSTop]]))</f>
        <v>#ERROR!</v>
      </c>
      <c r="AE74" s="19" t="str">
        <f>Targets_DW[[#This Row],[AWA+Leeway Top]]-Targets_DW[[#This Row],[ROT (deg)]]</f>
        <v>#ERROR!</v>
      </c>
      <c r="AF74" s="19" t="str">
        <f>Targets_DW[[#This Row],[CLEW (deg)]]+Targets_DW[[#This Row],[TWIST (deg)]]</f>
        <v>#ERROR!</v>
      </c>
      <c r="AG74" s="22" t="str">
        <f>Targets_DW[[#This Row],[AWA+Leeway Top]]-Targets_DW[[#This Row],[CA6]]</f>
        <v>#ERROR!</v>
      </c>
      <c r="AH74" s="19" t="str">
        <f>Targets_DW[[#This Row],[AWA+Leeway]]-Targets_DW[[#This Row],[JibLead (deg)]]</f>
        <v>#ERROR!</v>
      </c>
    </row>
    <row r="75" ht="14.25" customHeight="1">
      <c r="A75" s="20" t="s">
        <v>39</v>
      </c>
      <c r="B75" s="21" t="s">
        <v>38</v>
      </c>
      <c r="C75" s="21" t="s">
        <v>37</v>
      </c>
      <c r="D75" s="21">
        <v>27.5</v>
      </c>
      <c r="E75" s="21" t="str">
        <f t="shared" si="1"/>
        <v>H2_LAB2_LARW2-27.5m</v>
      </c>
      <c r="F75" s="21">
        <v>12.0</v>
      </c>
      <c r="G75" s="19" t="str">
        <f>ABS(Targets_DW[[#This Row],[BSP (km/h)]]*COS(RADIANS(Targets_DW[[#This Row],[TWA (deg)]]+Targets_DW[[#This Row],[LEEWAY (deg)]])))</f>
        <v>#ERROR!</v>
      </c>
      <c r="H75" s="19">
        <v>17.0</v>
      </c>
      <c r="I75" s="19">
        <v>135.0</v>
      </c>
      <c r="J75" s="19">
        <v>0.5</v>
      </c>
      <c r="K75" s="19">
        <v>4.5</v>
      </c>
      <c r="L75" s="19">
        <v>-0.8</v>
      </c>
      <c r="M75" s="19" t="str">
        <f>Targets_DW[[#This Row],[CANT (deg)]]-Targets_DW[[#This Row],[HEEL (deg)]]</f>
        <v>#ERROR!</v>
      </c>
      <c r="N75" s="19"/>
      <c r="O75" s="19">
        <v>0.0</v>
      </c>
      <c r="P75" s="19">
        <v>2.7</v>
      </c>
      <c r="Q75" s="19">
        <v>-0.4</v>
      </c>
      <c r="R75" s="19">
        <v>-35.0</v>
      </c>
      <c r="S75" s="19" t="str">
        <f>Targets_DW[[#This Row],[CLEW (deg)]]-0.5*Targets_DW[[#This Row],[CA1 (deg)]]</f>
        <v>#ERROR!</v>
      </c>
      <c r="T75" s="19">
        <v>18.0</v>
      </c>
      <c r="U75" s="19">
        <v>10.5</v>
      </c>
      <c r="V75" s="19"/>
      <c r="W75" s="19">
        <v>10.5</v>
      </c>
      <c r="X75" s="19"/>
      <c r="Y75" s="19" t="str">
        <f>SQRT(Targets_DW[[#This Row],[TWS (km/h)]]^2+Targets_DW[[#This Row],[BSP (km/h)]]^2+2*Targets_DW[[#This Row],[TWS (km/h)]]*Targets_DW[[#This Row],[BSP (km/h)]]*COS(RADIANS(Targets_DW[[#This Row],[TWA (deg)]]+Targets_DW[[#This Row],[LEEWAY (deg)]])))</f>
        <v>#ERROR!</v>
      </c>
      <c r="Z75" s="19" t="str">
        <f>DEGREES(ASIN(Targets_DW[[#This Row],[TWS (km/h)]]*SIN(RADIANS(Targets_DW[[#This Row],[TWA (deg)]]+Targets_DW[[#This Row],[LEEWAY (deg)]]))/Targets_DW[[#This Row],[AWS]]))</f>
        <v>#ERROR!</v>
      </c>
      <c r="AA75" s="19" t="str">
        <f>Targets_DW[[#This Row],[AWA+Leeway]]-Targets_DW[[#This Row],[ROT (deg)]]</f>
        <v>#ERROR!</v>
      </c>
      <c r="AB75" s="19" t="str">
        <f>Targets_DW[[#This Row],[TWS (km/h)]]*(Targets_DW[[#This Row],[Wing]]/10)^0.1</f>
        <v>#ERROR!</v>
      </c>
      <c r="AC75" s="19" t="str">
        <f>SQRT(Targets_DW[[#This Row],[TWSTop]]^2+Targets_DW[[#This Row],[BSP (km/h)]]^2+2*Targets_DW[[#This Row],[BSP (km/h)]]*Targets_DW[[#This Row],[TWSTop]]*COS(RADIANS(Targets_DW[[#This Row],[TWA (deg)]]+Targets_DW[[#This Row],[LEEWAY (deg)]])))</f>
        <v>#ERROR!</v>
      </c>
      <c r="AD75" s="19" t="str">
        <f>DEGREES(ASIN(Targets_DW[[#This Row],[TWSTop]]*SIN(RADIANS(Targets_DW[[#This Row],[TWA (deg)]]+Targets_DW[[#This Row],[LEEWAY (deg)]]))/Targets_DW[[#This Row],[AWSTop]]))</f>
        <v>#ERROR!</v>
      </c>
      <c r="AE75" s="19" t="str">
        <f>Targets_DW[[#This Row],[AWA+Leeway Top]]-Targets_DW[[#This Row],[ROT (deg)]]</f>
        <v>#ERROR!</v>
      </c>
      <c r="AF75" s="19" t="str">
        <f>Targets_DW[[#This Row],[CLEW (deg)]]+Targets_DW[[#This Row],[TWIST (deg)]]</f>
        <v>#ERROR!</v>
      </c>
      <c r="AG75" s="22" t="str">
        <f>Targets_DW[[#This Row],[AWA+Leeway Top]]-Targets_DW[[#This Row],[CA6]]</f>
        <v>#ERROR!</v>
      </c>
      <c r="AH75" s="19" t="str">
        <f>Targets_DW[[#This Row],[AWA+Leeway]]-Targets_DW[[#This Row],[JibLead (deg)]]</f>
        <v>#ERROR!</v>
      </c>
    </row>
    <row r="76" ht="14.25" customHeight="1">
      <c r="A76" s="23" t="s">
        <v>40</v>
      </c>
      <c r="B76" s="24" t="s">
        <v>38</v>
      </c>
      <c r="C76" s="24" t="s">
        <v>37</v>
      </c>
      <c r="D76" s="24">
        <v>27.5</v>
      </c>
      <c r="E76" s="24" t="str">
        <f t="shared" si="1"/>
        <v>H1-2B_LAB2_LARW2-27.5m</v>
      </c>
      <c r="F76" s="24">
        <v>9.0</v>
      </c>
      <c r="G76" s="25" t="str">
        <f>ABS(Targets_DW[[#This Row],[BSP (km/h)]]*COS(RADIANS(Targets_DW[[#This Row],[TWA (deg)]]+Targets_DW[[#This Row],[LEEWAY (deg)]])))</f>
        <v>#ERROR!</v>
      </c>
      <c r="H76" s="25">
        <v>19.0</v>
      </c>
      <c r="I76" s="25">
        <v>104.0</v>
      </c>
      <c r="J76" s="25">
        <v>3.0</v>
      </c>
      <c r="K76" s="25">
        <v>0.0</v>
      </c>
      <c r="L76" s="25">
        <v>-8.0</v>
      </c>
      <c r="M76" s="25" t="str">
        <f>Targets_DW[[#This Row],[CANT (deg)]]-Targets_DW[[#This Row],[HEEL (deg)]]</f>
        <v>#ERROR!</v>
      </c>
      <c r="N76" s="25"/>
      <c r="O76" s="25">
        <v>0.0</v>
      </c>
      <c r="P76" s="25">
        <v>3.0</v>
      </c>
      <c r="Q76" s="25">
        <v>-0.5</v>
      </c>
      <c r="R76" s="25">
        <v>-35.0</v>
      </c>
      <c r="S76" s="25" t="str">
        <f>Targets_DW[[#This Row],[CLEW (deg)]]-0.5*Targets_DW[[#This Row],[CA1 (deg)]]</f>
        <v>#ERROR!</v>
      </c>
      <c r="T76" s="25">
        <v>1.0</v>
      </c>
      <c r="U76" s="25">
        <v>6.1</v>
      </c>
      <c r="V76" s="25"/>
      <c r="W76" s="25">
        <v>10.5</v>
      </c>
      <c r="X76" s="25"/>
      <c r="Y76" s="25" t="str">
        <f>SQRT(Targets_DW[[#This Row],[TWS (km/h)]]^2+Targets_DW[[#This Row],[BSP (km/h)]]^2+2*Targets_DW[[#This Row],[TWS (km/h)]]*Targets_DW[[#This Row],[BSP (km/h)]]*COS(RADIANS(Targets_DW[[#This Row],[TWA (deg)]]+Targets_DW[[#This Row],[LEEWAY (deg)]])))</f>
        <v>#ERROR!</v>
      </c>
      <c r="Z76" s="25" t="str">
        <f>DEGREES(ASIN(Targets_DW[[#This Row],[TWS (km/h)]]*SIN(RADIANS(Targets_DW[[#This Row],[TWA (deg)]]+Targets_DW[[#This Row],[LEEWAY (deg)]]))/Targets_DW[[#This Row],[AWS]]))</f>
        <v>#ERROR!</v>
      </c>
      <c r="AA76" s="25" t="str">
        <f>Targets_DW[[#This Row],[AWA+Leeway]]-Targets_DW[[#This Row],[ROT (deg)]]</f>
        <v>#ERROR!</v>
      </c>
      <c r="AB76" s="25" t="str">
        <f>Targets_DW[[#This Row],[TWS (km/h)]]*(Targets_DW[[#This Row],[Wing]]/10)^0.1</f>
        <v>#ERROR!</v>
      </c>
      <c r="AC76" s="25" t="str">
        <f>SQRT(Targets_DW[[#This Row],[TWSTop]]^2+Targets_DW[[#This Row],[BSP (km/h)]]^2+2*Targets_DW[[#This Row],[BSP (km/h)]]*Targets_DW[[#This Row],[TWSTop]]*COS(RADIANS(Targets_DW[[#This Row],[TWA (deg)]]+Targets_DW[[#This Row],[LEEWAY (deg)]])))</f>
        <v>#ERROR!</v>
      </c>
      <c r="AD76" s="25" t="str">
        <f>DEGREES(ASIN(Targets_DW[[#This Row],[TWSTop]]*SIN(RADIANS(Targets_DW[[#This Row],[TWA (deg)]]+Targets_DW[[#This Row],[LEEWAY (deg)]]))/Targets_DW[[#This Row],[AWSTop]]))</f>
        <v>#ERROR!</v>
      </c>
      <c r="AE76" s="25" t="str">
        <f>Targets_DW[[#This Row],[AWA+Leeway Top]]-Targets_DW[[#This Row],[ROT (deg)]]</f>
        <v>#ERROR!</v>
      </c>
      <c r="AF76" s="25" t="str">
        <f>Targets_DW[[#This Row],[CLEW (deg)]]+Targets_DW[[#This Row],[TWIST (deg)]]</f>
        <v>#ERROR!</v>
      </c>
      <c r="AG76" s="26" t="str">
        <f>Targets_DW[[#This Row],[AWA+Leeway Top]]-Targets_DW[[#This Row],[CA6]]</f>
        <v>#ERROR!</v>
      </c>
      <c r="AH76" s="25" t="str">
        <f>Targets_DW[[#This Row],[AWA+Leeway]]-Targets_DW[[#This Row],[JibLead (deg)]]</f>
        <v>#ERROR!</v>
      </c>
    </row>
    <row r="77" ht="14.25" customHeight="1">
      <c r="A77" s="23" t="s">
        <v>40</v>
      </c>
      <c r="B77" s="24" t="s">
        <v>38</v>
      </c>
      <c r="C77" s="24" t="s">
        <v>37</v>
      </c>
      <c r="D77" s="24">
        <v>27.5</v>
      </c>
      <c r="E77" s="24" t="str">
        <f t="shared" si="1"/>
        <v>H1-2B_LAB2_LARW2-27.5m</v>
      </c>
      <c r="F77" s="24">
        <v>10.0</v>
      </c>
      <c r="G77" s="25" t="str">
        <f>ABS(Targets_DW[[#This Row],[BSP (km/h)]]*COS(RADIANS(Targets_DW[[#This Row],[TWA (deg)]]+Targets_DW[[#This Row],[LEEWAY (deg)]])))</f>
        <v>#ERROR!</v>
      </c>
      <c r="H77" s="25">
        <v>20.5</v>
      </c>
      <c r="I77" s="25">
        <v>113.0</v>
      </c>
      <c r="J77" s="25">
        <v>3.0</v>
      </c>
      <c r="K77" s="25">
        <v>0.0</v>
      </c>
      <c r="L77" s="25">
        <v>-8.0</v>
      </c>
      <c r="M77" s="25" t="str">
        <f>Targets_DW[[#This Row],[CANT (deg)]]-Targets_DW[[#This Row],[HEEL (deg)]]</f>
        <v>#ERROR!</v>
      </c>
      <c r="N77" s="25"/>
      <c r="O77" s="25">
        <v>0.0</v>
      </c>
      <c r="P77" s="25">
        <v>3.0</v>
      </c>
      <c r="Q77" s="25">
        <v>-0.5</v>
      </c>
      <c r="R77" s="25">
        <v>-35.0</v>
      </c>
      <c r="S77" s="25" t="str">
        <f>Targets_DW[[#This Row],[CLEW (deg)]]-0.5*Targets_DW[[#This Row],[CA1 (deg)]]</f>
        <v>#ERROR!</v>
      </c>
      <c r="T77" s="25">
        <v>2.0</v>
      </c>
      <c r="U77" s="25">
        <v>6.9</v>
      </c>
      <c r="V77" s="25"/>
      <c r="W77" s="25">
        <v>10.5</v>
      </c>
      <c r="X77" s="25"/>
      <c r="Y77" s="25" t="str">
        <f>SQRT(Targets_DW[[#This Row],[TWS (km/h)]]^2+Targets_DW[[#This Row],[BSP (km/h)]]^2+2*Targets_DW[[#This Row],[TWS (km/h)]]*Targets_DW[[#This Row],[BSP (km/h)]]*COS(RADIANS(Targets_DW[[#This Row],[TWA (deg)]]+Targets_DW[[#This Row],[LEEWAY (deg)]])))</f>
        <v>#ERROR!</v>
      </c>
      <c r="Z77" s="25" t="str">
        <f>DEGREES(ASIN(Targets_DW[[#This Row],[TWS (km/h)]]*SIN(RADIANS(Targets_DW[[#This Row],[TWA (deg)]]+Targets_DW[[#This Row],[LEEWAY (deg)]]))/Targets_DW[[#This Row],[AWS]]))</f>
        <v>#ERROR!</v>
      </c>
      <c r="AA77" s="25" t="str">
        <f>Targets_DW[[#This Row],[AWA+Leeway]]-Targets_DW[[#This Row],[ROT (deg)]]</f>
        <v>#ERROR!</v>
      </c>
      <c r="AB77" s="25" t="str">
        <f>Targets_DW[[#This Row],[TWS (km/h)]]*(Targets_DW[[#This Row],[Wing]]/10)^0.1</f>
        <v>#ERROR!</v>
      </c>
      <c r="AC77" s="25" t="str">
        <f>SQRT(Targets_DW[[#This Row],[TWSTop]]^2+Targets_DW[[#This Row],[BSP (km/h)]]^2+2*Targets_DW[[#This Row],[BSP (km/h)]]*Targets_DW[[#This Row],[TWSTop]]*COS(RADIANS(Targets_DW[[#This Row],[TWA (deg)]]+Targets_DW[[#This Row],[LEEWAY (deg)]])))</f>
        <v>#ERROR!</v>
      </c>
      <c r="AD77" s="25" t="str">
        <f>DEGREES(ASIN(Targets_DW[[#This Row],[TWSTop]]*SIN(RADIANS(Targets_DW[[#This Row],[TWA (deg)]]+Targets_DW[[#This Row],[LEEWAY (deg)]]))/Targets_DW[[#This Row],[AWSTop]]))</f>
        <v>#ERROR!</v>
      </c>
      <c r="AE77" s="25" t="str">
        <f>Targets_DW[[#This Row],[AWA+Leeway Top]]-Targets_DW[[#This Row],[ROT (deg)]]</f>
        <v>#ERROR!</v>
      </c>
      <c r="AF77" s="25" t="str">
        <f>Targets_DW[[#This Row],[CLEW (deg)]]+Targets_DW[[#This Row],[TWIST (deg)]]</f>
        <v>#ERROR!</v>
      </c>
      <c r="AG77" s="26" t="str">
        <f>Targets_DW[[#This Row],[AWA+Leeway Top]]-Targets_DW[[#This Row],[CA6]]</f>
        <v>#ERROR!</v>
      </c>
      <c r="AH77" s="25" t="str">
        <f>Targets_DW[[#This Row],[AWA+Leeway]]-Targets_DW[[#This Row],[JibLead (deg)]]</f>
        <v>#ERROR!</v>
      </c>
    </row>
    <row r="78" ht="14.25" customHeight="1">
      <c r="A78" s="23" t="s">
        <v>40</v>
      </c>
      <c r="B78" s="24" t="s">
        <v>38</v>
      </c>
      <c r="C78" s="24" t="s">
        <v>37</v>
      </c>
      <c r="D78" s="24">
        <v>27.5</v>
      </c>
      <c r="E78" s="24" t="str">
        <f t="shared" si="1"/>
        <v>H1-2B_LAB2_LARW2-27.5m</v>
      </c>
      <c r="F78" s="24">
        <v>11.0</v>
      </c>
      <c r="G78" s="25" t="str">
        <f>ABS(Targets_DW[[#This Row],[BSP (km/h)]]*COS(RADIANS(Targets_DW[[#This Row],[TWA (deg)]]+Targets_DW[[#This Row],[LEEWAY (deg)]])))</f>
        <v>#ERROR!</v>
      </c>
      <c r="H78" s="25">
        <v>21.6</v>
      </c>
      <c r="I78" s="25">
        <v>118.0</v>
      </c>
      <c r="J78" s="25">
        <v>3.0</v>
      </c>
      <c r="K78" s="25">
        <v>0.0</v>
      </c>
      <c r="L78" s="25">
        <v>-8.0</v>
      </c>
      <c r="M78" s="25" t="str">
        <f>Targets_DW[[#This Row],[CANT (deg)]]-Targets_DW[[#This Row],[HEEL (deg)]]</f>
        <v>#ERROR!</v>
      </c>
      <c r="N78" s="25"/>
      <c r="O78" s="25">
        <v>0.0</v>
      </c>
      <c r="P78" s="25">
        <v>3.0</v>
      </c>
      <c r="Q78" s="25">
        <v>-0.5</v>
      </c>
      <c r="R78" s="25">
        <v>-35.0</v>
      </c>
      <c r="S78" s="25" t="str">
        <f>Targets_DW[[#This Row],[CLEW (deg)]]-0.5*Targets_DW[[#This Row],[CA1 (deg)]]</f>
        <v>#ERROR!</v>
      </c>
      <c r="T78" s="25">
        <v>3.5</v>
      </c>
      <c r="U78" s="25">
        <v>7.2</v>
      </c>
      <c r="V78" s="25"/>
      <c r="W78" s="25">
        <v>10.5</v>
      </c>
      <c r="X78" s="25"/>
      <c r="Y78" s="25" t="str">
        <f>SQRT(Targets_DW[[#This Row],[TWS (km/h)]]^2+Targets_DW[[#This Row],[BSP (km/h)]]^2+2*Targets_DW[[#This Row],[TWS (km/h)]]*Targets_DW[[#This Row],[BSP (km/h)]]*COS(RADIANS(Targets_DW[[#This Row],[TWA (deg)]]+Targets_DW[[#This Row],[LEEWAY (deg)]])))</f>
        <v>#ERROR!</v>
      </c>
      <c r="Z78" s="25" t="str">
        <f>DEGREES(ASIN(Targets_DW[[#This Row],[TWS (km/h)]]*SIN(RADIANS(Targets_DW[[#This Row],[TWA (deg)]]+Targets_DW[[#This Row],[LEEWAY (deg)]]))/Targets_DW[[#This Row],[AWS]]))</f>
        <v>#ERROR!</v>
      </c>
      <c r="AA78" s="25" t="str">
        <f>Targets_DW[[#This Row],[AWA+Leeway]]-Targets_DW[[#This Row],[ROT (deg)]]</f>
        <v>#ERROR!</v>
      </c>
      <c r="AB78" s="25" t="str">
        <f>Targets_DW[[#This Row],[TWS (km/h)]]*(Targets_DW[[#This Row],[Wing]]/10)^0.1</f>
        <v>#ERROR!</v>
      </c>
      <c r="AC78" s="25" t="str">
        <f>SQRT(Targets_DW[[#This Row],[TWSTop]]^2+Targets_DW[[#This Row],[BSP (km/h)]]^2+2*Targets_DW[[#This Row],[BSP (km/h)]]*Targets_DW[[#This Row],[TWSTop]]*COS(RADIANS(Targets_DW[[#This Row],[TWA (deg)]]+Targets_DW[[#This Row],[LEEWAY (deg)]])))</f>
        <v>#ERROR!</v>
      </c>
      <c r="AD78" s="25" t="str">
        <f>DEGREES(ASIN(Targets_DW[[#This Row],[TWSTop]]*SIN(RADIANS(Targets_DW[[#This Row],[TWA (deg)]]+Targets_DW[[#This Row],[LEEWAY (deg)]]))/Targets_DW[[#This Row],[AWSTop]]))</f>
        <v>#ERROR!</v>
      </c>
      <c r="AE78" s="25" t="str">
        <f>Targets_DW[[#This Row],[AWA+Leeway Top]]-Targets_DW[[#This Row],[ROT (deg)]]</f>
        <v>#ERROR!</v>
      </c>
      <c r="AF78" s="25" t="str">
        <f>Targets_DW[[#This Row],[CLEW (deg)]]+Targets_DW[[#This Row],[TWIST (deg)]]</f>
        <v>#ERROR!</v>
      </c>
      <c r="AG78" s="26" t="str">
        <f>Targets_DW[[#This Row],[AWA+Leeway Top]]-Targets_DW[[#This Row],[CA6]]</f>
        <v>#ERROR!</v>
      </c>
      <c r="AH78" s="25" t="str">
        <f>Targets_DW[[#This Row],[AWA+Leeway]]-Targets_DW[[#This Row],[JibLead (deg)]]</f>
        <v>#ERROR!</v>
      </c>
    </row>
    <row r="79" ht="14.25" customHeight="1">
      <c r="A79" s="23" t="s">
        <v>40</v>
      </c>
      <c r="B79" s="24" t="s">
        <v>38</v>
      </c>
      <c r="C79" s="24" t="s">
        <v>37</v>
      </c>
      <c r="D79" s="24">
        <v>27.5</v>
      </c>
      <c r="E79" s="24" t="str">
        <f t="shared" si="1"/>
        <v>H1-2B_LAB2_LARW2-27.5m</v>
      </c>
      <c r="F79" s="24">
        <v>12.0</v>
      </c>
      <c r="G79" s="25" t="str">
        <f>ABS(Targets_DW[[#This Row],[BSP (km/h)]]*COS(RADIANS(Targets_DW[[#This Row],[TWA (deg)]]+Targets_DW[[#This Row],[LEEWAY (deg)]])))</f>
        <v>#ERROR!</v>
      </c>
      <c r="H79" s="25">
        <v>22.5</v>
      </c>
      <c r="I79" s="25">
        <v>122.0</v>
      </c>
      <c r="J79" s="25">
        <v>3.0</v>
      </c>
      <c r="K79" s="25">
        <v>0.0</v>
      </c>
      <c r="L79" s="25">
        <v>-8.0</v>
      </c>
      <c r="M79" s="25" t="str">
        <f>Targets_DW[[#This Row],[CANT (deg)]]-Targets_DW[[#This Row],[HEEL (deg)]]</f>
        <v>#ERROR!</v>
      </c>
      <c r="N79" s="25"/>
      <c r="O79" s="25">
        <v>0.0</v>
      </c>
      <c r="P79" s="25">
        <v>3.0</v>
      </c>
      <c r="Q79" s="25">
        <v>-0.5</v>
      </c>
      <c r="R79" s="25">
        <v>-35.0</v>
      </c>
      <c r="S79" s="25" t="str">
        <f>Targets_DW[[#This Row],[CLEW (deg)]]-0.5*Targets_DW[[#This Row],[CA1 (deg)]]</f>
        <v>#ERROR!</v>
      </c>
      <c r="T79" s="25">
        <v>5.0</v>
      </c>
      <c r="U79" s="25">
        <v>7.7</v>
      </c>
      <c r="V79" s="25"/>
      <c r="W79" s="25">
        <v>10.5</v>
      </c>
      <c r="X79" s="25"/>
      <c r="Y79" s="25" t="str">
        <f>SQRT(Targets_DW[[#This Row],[TWS (km/h)]]^2+Targets_DW[[#This Row],[BSP (km/h)]]^2+2*Targets_DW[[#This Row],[TWS (km/h)]]*Targets_DW[[#This Row],[BSP (km/h)]]*COS(RADIANS(Targets_DW[[#This Row],[TWA (deg)]]+Targets_DW[[#This Row],[LEEWAY (deg)]])))</f>
        <v>#ERROR!</v>
      </c>
      <c r="Z79" s="25" t="str">
        <f>DEGREES(ASIN(Targets_DW[[#This Row],[TWS (km/h)]]*SIN(RADIANS(Targets_DW[[#This Row],[TWA (deg)]]+Targets_DW[[#This Row],[LEEWAY (deg)]]))/Targets_DW[[#This Row],[AWS]]))</f>
        <v>#ERROR!</v>
      </c>
      <c r="AA79" s="25" t="str">
        <f>Targets_DW[[#This Row],[AWA+Leeway]]-Targets_DW[[#This Row],[ROT (deg)]]</f>
        <v>#ERROR!</v>
      </c>
      <c r="AB79" s="25" t="str">
        <f>Targets_DW[[#This Row],[TWS (km/h)]]*(Targets_DW[[#This Row],[Wing]]/10)^0.1</f>
        <v>#ERROR!</v>
      </c>
      <c r="AC79" s="25" t="str">
        <f>SQRT(Targets_DW[[#This Row],[TWSTop]]^2+Targets_DW[[#This Row],[BSP (km/h)]]^2+2*Targets_DW[[#This Row],[BSP (km/h)]]*Targets_DW[[#This Row],[TWSTop]]*COS(RADIANS(Targets_DW[[#This Row],[TWA (deg)]]+Targets_DW[[#This Row],[LEEWAY (deg)]])))</f>
        <v>#ERROR!</v>
      </c>
      <c r="AD79" s="25" t="str">
        <f>DEGREES(ASIN(Targets_DW[[#This Row],[TWSTop]]*SIN(RADIANS(Targets_DW[[#This Row],[TWA (deg)]]+Targets_DW[[#This Row],[LEEWAY (deg)]]))/Targets_DW[[#This Row],[AWSTop]]))</f>
        <v>#ERROR!</v>
      </c>
      <c r="AE79" s="25" t="str">
        <f>Targets_DW[[#This Row],[AWA+Leeway Top]]-Targets_DW[[#This Row],[ROT (deg)]]</f>
        <v>#ERROR!</v>
      </c>
      <c r="AF79" s="25" t="str">
        <f>Targets_DW[[#This Row],[CLEW (deg)]]+Targets_DW[[#This Row],[TWIST (deg)]]</f>
        <v>#ERROR!</v>
      </c>
      <c r="AG79" s="26" t="str">
        <f>Targets_DW[[#This Row],[AWA+Leeway Top]]-Targets_DW[[#This Row],[CA6]]</f>
        <v>#ERROR!</v>
      </c>
      <c r="AH79" s="25" t="str">
        <f>Targets_DW[[#This Row],[AWA+Leeway]]-Targets_DW[[#This Row],[JibLead (deg)]]</f>
        <v>#ERROR!</v>
      </c>
    </row>
    <row r="80" ht="14.25" customHeight="1">
      <c r="A80" s="23" t="s">
        <v>40</v>
      </c>
      <c r="B80" s="24" t="s">
        <v>38</v>
      </c>
      <c r="C80" s="24" t="s">
        <v>37</v>
      </c>
      <c r="D80" s="24">
        <v>27.5</v>
      </c>
      <c r="E80" s="24" t="str">
        <f t="shared" si="1"/>
        <v>H1-2B_LAB2_LARW2-27.5m</v>
      </c>
      <c r="F80" s="24">
        <v>13.0</v>
      </c>
      <c r="G80" s="25" t="str">
        <f>ABS(Targets_DW[[#This Row],[BSP (km/h)]]*COS(RADIANS(Targets_DW[[#This Row],[TWA (deg)]]+Targets_DW[[#This Row],[LEEWAY (deg)]])))</f>
        <v>#ERROR!</v>
      </c>
      <c r="H80" s="25">
        <v>23.4</v>
      </c>
      <c r="I80" s="25">
        <v>125.0</v>
      </c>
      <c r="J80" s="25">
        <v>3.0</v>
      </c>
      <c r="K80" s="25">
        <v>0.0</v>
      </c>
      <c r="L80" s="25">
        <v>-8.0</v>
      </c>
      <c r="M80" s="25" t="str">
        <f>Targets_DW[[#This Row],[CANT (deg)]]-Targets_DW[[#This Row],[HEEL (deg)]]</f>
        <v>#ERROR!</v>
      </c>
      <c r="N80" s="25"/>
      <c r="O80" s="25">
        <v>0.0</v>
      </c>
      <c r="P80" s="25">
        <v>3.0</v>
      </c>
      <c r="Q80" s="25">
        <v>-0.5</v>
      </c>
      <c r="R80" s="25">
        <v>-35.0</v>
      </c>
      <c r="S80" s="25" t="str">
        <f>Targets_DW[[#This Row],[CLEW (deg)]]-0.5*Targets_DW[[#This Row],[CA1 (deg)]]</f>
        <v>#ERROR!</v>
      </c>
      <c r="T80" s="25">
        <v>6.5</v>
      </c>
      <c r="U80" s="25">
        <v>7.9</v>
      </c>
      <c r="V80" s="25"/>
      <c r="W80" s="25">
        <v>10.5</v>
      </c>
      <c r="X80" s="25"/>
      <c r="Y80" s="25" t="str">
        <f>SQRT(Targets_DW[[#This Row],[TWS (km/h)]]^2+Targets_DW[[#This Row],[BSP (km/h)]]^2+2*Targets_DW[[#This Row],[TWS (km/h)]]*Targets_DW[[#This Row],[BSP (km/h)]]*COS(RADIANS(Targets_DW[[#This Row],[TWA (deg)]]+Targets_DW[[#This Row],[LEEWAY (deg)]])))</f>
        <v>#ERROR!</v>
      </c>
      <c r="Z80" s="25" t="str">
        <f>DEGREES(ASIN(Targets_DW[[#This Row],[TWS (km/h)]]*SIN(RADIANS(Targets_DW[[#This Row],[TWA (deg)]]+Targets_DW[[#This Row],[LEEWAY (deg)]]))/Targets_DW[[#This Row],[AWS]]))</f>
        <v>#ERROR!</v>
      </c>
      <c r="AA80" s="25" t="str">
        <f>Targets_DW[[#This Row],[AWA+Leeway]]-Targets_DW[[#This Row],[ROT (deg)]]</f>
        <v>#ERROR!</v>
      </c>
      <c r="AB80" s="25" t="str">
        <f>Targets_DW[[#This Row],[TWS (km/h)]]*(Targets_DW[[#This Row],[Wing]]/10)^0.1</f>
        <v>#ERROR!</v>
      </c>
      <c r="AC80" s="25" t="str">
        <f>SQRT(Targets_DW[[#This Row],[TWSTop]]^2+Targets_DW[[#This Row],[BSP (km/h)]]^2+2*Targets_DW[[#This Row],[BSP (km/h)]]*Targets_DW[[#This Row],[TWSTop]]*COS(RADIANS(Targets_DW[[#This Row],[TWA (deg)]]+Targets_DW[[#This Row],[LEEWAY (deg)]])))</f>
        <v>#ERROR!</v>
      </c>
      <c r="AD80" s="25" t="str">
        <f>DEGREES(ASIN(Targets_DW[[#This Row],[TWSTop]]*SIN(RADIANS(Targets_DW[[#This Row],[TWA (deg)]]+Targets_DW[[#This Row],[LEEWAY (deg)]]))/Targets_DW[[#This Row],[AWSTop]]))</f>
        <v>#ERROR!</v>
      </c>
      <c r="AE80" s="25" t="str">
        <f>Targets_DW[[#This Row],[AWA+Leeway Top]]-Targets_DW[[#This Row],[ROT (deg)]]</f>
        <v>#ERROR!</v>
      </c>
      <c r="AF80" s="25" t="str">
        <f>Targets_DW[[#This Row],[CLEW (deg)]]+Targets_DW[[#This Row],[TWIST (deg)]]</f>
        <v>#ERROR!</v>
      </c>
      <c r="AG80" s="26" t="str">
        <f>Targets_DW[[#This Row],[AWA+Leeway Top]]-Targets_DW[[#This Row],[CA6]]</f>
        <v>#ERROR!</v>
      </c>
      <c r="AH80" s="25" t="str">
        <f>Targets_DW[[#This Row],[AWA+Leeway]]-Targets_DW[[#This Row],[JibLead (deg)]]</f>
        <v>#ERROR!</v>
      </c>
    </row>
    <row r="81" ht="14.25" customHeight="1">
      <c r="A81" s="27" t="s">
        <v>41</v>
      </c>
      <c r="B81" s="28" t="s">
        <v>38</v>
      </c>
      <c r="C81" s="28" t="s">
        <v>37</v>
      </c>
      <c r="D81" s="28">
        <v>27.5</v>
      </c>
      <c r="E81" s="28" t="str">
        <f t="shared" si="1"/>
        <v>H1_LAB2_LARW2-27.5m</v>
      </c>
      <c r="F81" s="28">
        <v>12.0</v>
      </c>
      <c r="G81" s="29" t="str">
        <f>ABS(Targets_DW[[#This Row],[BSP (km/h)]]*COS(RADIANS(Targets_DW[[#This Row],[TWA (deg)]]+Targets_DW[[#This Row],[LEEWAY (deg)]])))</f>
        <v>#ERROR!</v>
      </c>
      <c r="H81" s="29">
        <v>24.3</v>
      </c>
      <c r="I81" s="29">
        <v>112.0</v>
      </c>
      <c r="J81" s="29">
        <v>2.0</v>
      </c>
      <c r="K81" s="29">
        <v>-1.0</v>
      </c>
      <c r="L81" s="29">
        <v>-10.0</v>
      </c>
      <c r="M81" s="29" t="str">
        <f>Targets_DW[[#This Row],[CANT (deg)]]-Targets_DW[[#This Row],[HEEL (deg)]]</f>
        <v>#ERROR!</v>
      </c>
      <c r="N81" s="29"/>
      <c r="O81" s="29">
        <v>0.0</v>
      </c>
      <c r="P81" s="29">
        <v>3.0</v>
      </c>
      <c r="Q81" s="29">
        <v>-0.8</v>
      </c>
      <c r="R81" s="29">
        <v>-35.0</v>
      </c>
      <c r="S81" s="29" t="str">
        <f>Targets_DW[[#This Row],[CLEW (deg)]]-0.5*Targets_DW[[#This Row],[CA1 (deg)]]</f>
        <v>#ERROR!</v>
      </c>
      <c r="T81" s="29">
        <v>2.0</v>
      </c>
      <c r="U81" s="29">
        <v>8.2</v>
      </c>
      <c r="V81" s="29"/>
      <c r="W81" s="29">
        <v>10.5</v>
      </c>
      <c r="X81" s="29"/>
      <c r="Y81" s="29" t="str">
        <f>SQRT(Targets_DW[[#This Row],[TWS (km/h)]]^2+Targets_DW[[#This Row],[BSP (km/h)]]^2+2*Targets_DW[[#This Row],[TWS (km/h)]]*Targets_DW[[#This Row],[BSP (km/h)]]*COS(RADIANS(Targets_DW[[#This Row],[TWA (deg)]]+Targets_DW[[#This Row],[LEEWAY (deg)]])))</f>
        <v>#ERROR!</v>
      </c>
      <c r="Z81" s="29" t="str">
        <f>DEGREES(ASIN(Targets_DW[[#This Row],[TWS (km/h)]]*SIN(RADIANS(Targets_DW[[#This Row],[TWA (deg)]]+Targets_DW[[#This Row],[LEEWAY (deg)]]))/Targets_DW[[#This Row],[AWS]]))</f>
        <v>#ERROR!</v>
      </c>
      <c r="AA81" s="29" t="str">
        <f>Targets_DW[[#This Row],[AWA+Leeway]]-Targets_DW[[#This Row],[ROT (deg)]]</f>
        <v>#ERROR!</v>
      </c>
      <c r="AB81" s="29" t="str">
        <f>Targets_DW[[#This Row],[TWS (km/h)]]*(Targets_DW[[#This Row],[Wing]]/10)^0.1</f>
        <v>#ERROR!</v>
      </c>
      <c r="AC81" s="29" t="str">
        <f>SQRT(Targets_DW[[#This Row],[TWSTop]]^2+Targets_DW[[#This Row],[BSP (km/h)]]^2+2*Targets_DW[[#This Row],[BSP (km/h)]]*Targets_DW[[#This Row],[TWSTop]]*COS(RADIANS(Targets_DW[[#This Row],[TWA (deg)]]+Targets_DW[[#This Row],[LEEWAY (deg)]])))</f>
        <v>#ERROR!</v>
      </c>
      <c r="AD81" s="29" t="str">
        <f>DEGREES(ASIN(Targets_DW[[#This Row],[TWSTop]]*SIN(RADIANS(Targets_DW[[#This Row],[TWA (deg)]]+Targets_DW[[#This Row],[LEEWAY (deg)]]))/Targets_DW[[#This Row],[AWSTop]]))</f>
        <v>#ERROR!</v>
      </c>
      <c r="AE81" s="29" t="str">
        <f>Targets_DW[[#This Row],[AWA+Leeway Top]]-Targets_DW[[#This Row],[ROT (deg)]]</f>
        <v>#ERROR!</v>
      </c>
      <c r="AF81" s="29" t="str">
        <f>Targets_DW[[#This Row],[CLEW (deg)]]+Targets_DW[[#This Row],[TWIST (deg)]]</f>
        <v>#ERROR!</v>
      </c>
      <c r="AG81" s="30" t="str">
        <f>Targets_DW[[#This Row],[AWA+Leeway Top]]-Targets_DW[[#This Row],[CA6]]</f>
        <v>#ERROR!</v>
      </c>
      <c r="AH81" s="29" t="str">
        <f>Targets_DW[[#This Row],[AWA+Leeway]]-Targets_DW[[#This Row],[JibLead (deg)]]</f>
        <v>#ERROR!</v>
      </c>
    </row>
    <row r="82" ht="14.25" customHeight="1">
      <c r="A82" s="27" t="s">
        <v>41</v>
      </c>
      <c r="B82" s="28" t="s">
        <v>38</v>
      </c>
      <c r="C82" s="28" t="s">
        <v>37</v>
      </c>
      <c r="D82" s="28">
        <v>27.5</v>
      </c>
      <c r="E82" s="28" t="str">
        <f t="shared" si="1"/>
        <v>H1_LAB2_LARW2-27.5m</v>
      </c>
      <c r="F82" s="28">
        <v>13.0</v>
      </c>
      <c r="G82" s="29" t="str">
        <f>ABS(Targets_DW[[#This Row],[BSP (km/h)]]*COS(RADIANS(Targets_DW[[#This Row],[TWA (deg)]]+Targets_DW[[#This Row],[LEEWAY (deg)]])))</f>
        <v>#ERROR!</v>
      </c>
      <c r="H82" s="29">
        <v>25.0</v>
      </c>
      <c r="I82" s="29">
        <v>115.0</v>
      </c>
      <c r="J82" s="29">
        <v>2.0</v>
      </c>
      <c r="K82" s="29">
        <v>-1.0</v>
      </c>
      <c r="L82" s="29">
        <v>-10.0</v>
      </c>
      <c r="M82" s="29" t="str">
        <f>Targets_DW[[#This Row],[CANT (deg)]]-Targets_DW[[#This Row],[HEEL (deg)]]</f>
        <v>#ERROR!</v>
      </c>
      <c r="N82" s="29"/>
      <c r="O82" s="29">
        <v>0.0</v>
      </c>
      <c r="P82" s="29">
        <v>3.0</v>
      </c>
      <c r="Q82" s="29">
        <v>-0.8</v>
      </c>
      <c r="R82" s="29">
        <v>-35.0</v>
      </c>
      <c r="S82" s="29" t="str">
        <f>Targets_DW[[#This Row],[CLEW (deg)]]-0.5*Targets_DW[[#This Row],[CA1 (deg)]]</f>
        <v>#ERROR!</v>
      </c>
      <c r="T82" s="29">
        <v>4.0</v>
      </c>
      <c r="U82" s="29">
        <v>8.3</v>
      </c>
      <c r="V82" s="29"/>
      <c r="W82" s="29">
        <v>10.5</v>
      </c>
      <c r="X82" s="29"/>
      <c r="Y82" s="29" t="str">
        <f>SQRT(Targets_DW[[#This Row],[TWS (km/h)]]^2+Targets_DW[[#This Row],[BSP (km/h)]]^2+2*Targets_DW[[#This Row],[TWS (km/h)]]*Targets_DW[[#This Row],[BSP (km/h)]]*COS(RADIANS(Targets_DW[[#This Row],[TWA (deg)]]+Targets_DW[[#This Row],[LEEWAY (deg)]])))</f>
        <v>#ERROR!</v>
      </c>
      <c r="Z82" s="29" t="str">
        <f>DEGREES(ASIN(Targets_DW[[#This Row],[TWS (km/h)]]*SIN(RADIANS(Targets_DW[[#This Row],[TWA (deg)]]+Targets_DW[[#This Row],[LEEWAY (deg)]]))/Targets_DW[[#This Row],[AWS]]))</f>
        <v>#ERROR!</v>
      </c>
      <c r="AA82" s="29" t="str">
        <f>Targets_DW[[#This Row],[AWA+Leeway]]-Targets_DW[[#This Row],[ROT (deg)]]</f>
        <v>#ERROR!</v>
      </c>
      <c r="AB82" s="29" t="str">
        <f>Targets_DW[[#This Row],[TWS (km/h)]]*(Targets_DW[[#This Row],[Wing]]/10)^0.1</f>
        <v>#ERROR!</v>
      </c>
      <c r="AC82" s="29" t="str">
        <f>SQRT(Targets_DW[[#This Row],[TWSTop]]^2+Targets_DW[[#This Row],[BSP (km/h)]]^2+2*Targets_DW[[#This Row],[BSP (km/h)]]*Targets_DW[[#This Row],[TWSTop]]*COS(RADIANS(Targets_DW[[#This Row],[TWA (deg)]]+Targets_DW[[#This Row],[LEEWAY (deg)]])))</f>
        <v>#ERROR!</v>
      </c>
      <c r="AD82" s="29" t="str">
        <f>DEGREES(ASIN(Targets_DW[[#This Row],[TWSTop]]*SIN(RADIANS(Targets_DW[[#This Row],[TWA (deg)]]+Targets_DW[[#This Row],[LEEWAY (deg)]]))/Targets_DW[[#This Row],[AWSTop]]))</f>
        <v>#ERROR!</v>
      </c>
      <c r="AE82" s="29" t="str">
        <f>Targets_DW[[#This Row],[AWA+Leeway Top]]-Targets_DW[[#This Row],[ROT (deg)]]</f>
        <v>#ERROR!</v>
      </c>
      <c r="AF82" s="29" t="str">
        <f>Targets_DW[[#This Row],[CLEW (deg)]]+Targets_DW[[#This Row],[TWIST (deg)]]</f>
        <v>#ERROR!</v>
      </c>
      <c r="AG82" s="30" t="str">
        <f>Targets_DW[[#This Row],[AWA+Leeway Top]]-Targets_DW[[#This Row],[CA6]]</f>
        <v>#ERROR!</v>
      </c>
      <c r="AH82" s="29" t="str">
        <f>Targets_DW[[#This Row],[AWA+Leeway]]-Targets_DW[[#This Row],[JibLead (deg)]]</f>
        <v>#ERROR!</v>
      </c>
    </row>
    <row r="83" ht="14.25" customHeight="1">
      <c r="A83" s="31" t="s">
        <v>41</v>
      </c>
      <c r="B83" s="32" t="s">
        <v>38</v>
      </c>
      <c r="C83" s="32" t="s">
        <v>37</v>
      </c>
      <c r="D83" s="32">
        <v>27.5</v>
      </c>
      <c r="E83" s="32" t="str">
        <f t="shared" si="1"/>
        <v>H1_LAB2_LARW2-27.5m</v>
      </c>
      <c r="F83" s="32">
        <v>14.0</v>
      </c>
      <c r="G83" s="33" t="str">
        <f>ABS(Targets_DW[[#This Row],[BSP (km/h)]]*COS(RADIANS(Targets_DW[[#This Row],[TWA (deg)]]+Targets_DW[[#This Row],[LEEWAY (deg)]])))</f>
        <v>#ERROR!</v>
      </c>
      <c r="H83" s="33">
        <v>25.4</v>
      </c>
      <c r="I83" s="33">
        <v>117.0</v>
      </c>
      <c r="J83" s="33">
        <v>2.0</v>
      </c>
      <c r="K83" s="33">
        <v>-1.0</v>
      </c>
      <c r="L83" s="33">
        <v>-10.0</v>
      </c>
      <c r="M83" s="33" t="str">
        <f>Targets_DW[[#This Row],[CANT (deg)]]-Targets_DW[[#This Row],[HEEL (deg)]]</f>
        <v>#ERROR!</v>
      </c>
      <c r="N83" s="33"/>
      <c r="O83" s="33">
        <v>0.0</v>
      </c>
      <c r="P83" s="33">
        <v>3.0</v>
      </c>
      <c r="Q83" s="33">
        <v>-0.8</v>
      </c>
      <c r="R83" s="33">
        <v>-35.0</v>
      </c>
      <c r="S83" s="33" t="str">
        <f>Targets_DW[[#This Row],[CLEW (deg)]]-0.5*Targets_DW[[#This Row],[CA1 (deg)]]</f>
        <v>#ERROR!</v>
      </c>
      <c r="T83" s="33">
        <v>6.0</v>
      </c>
      <c r="U83" s="33">
        <v>8.6</v>
      </c>
      <c r="V83" s="33"/>
      <c r="W83" s="33">
        <v>10.5</v>
      </c>
      <c r="X83" s="33"/>
      <c r="Y83" s="33" t="str">
        <f>SQRT(Targets_DW[[#This Row],[TWS (km/h)]]^2+Targets_DW[[#This Row],[BSP (km/h)]]^2+2*Targets_DW[[#This Row],[TWS (km/h)]]*Targets_DW[[#This Row],[BSP (km/h)]]*COS(RADIANS(Targets_DW[[#This Row],[TWA (deg)]]+Targets_DW[[#This Row],[LEEWAY (deg)]])))</f>
        <v>#ERROR!</v>
      </c>
      <c r="Z83" s="33" t="str">
        <f>DEGREES(ASIN(Targets_DW[[#This Row],[TWS (km/h)]]*SIN(RADIANS(Targets_DW[[#This Row],[TWA (deg)]]+Targets_DW[[#This Row],[LEEWAY (deg)]]))/Targets_DW[[#This Row],[AWS]]))</f>
        <v>#ERROR!</v>
      </c>
      <c r="AA83" s="33" t="str">
        <f>Targets_DW[[#This Row],[AWA+Leeway]]-Targets_DW[[#This Row],[ROT (deg)]]</f>
        <v>#ERROR!</v>
      </c>
      <c r="AB83" s="33" t="str">
        <f>Targets_DW[[#This Row],[TWS (km/h)]]*(Targets_DW[[#This Row],[Wing]]/10)^0.1</f>
        <v>#ERROR!</v>
      </c>
      <c r="AC83" s="33" t="str">
        <f>SQRT(Targets_DW[[#This Row],[TWSTop]]^2+Targets_DW[[#This Row],[BSP (km/h)]]^2+2*Targets_DW[[#This Row],[BSP (km/h)]]*Targets_DW[[#This Row],[TWSTop]]*COS(RADIANS(Targets_DW[[#This Row],[TWA (deg)]]+Targets_DW[[#This Row],[LEEWAY (deg)]])))</f>
        <v>#ERROR!</v>
      </c>
      <c r="AD83" s="33" t="str">
        <f>DEGREES(ASIN(Targets_DW[[#This Row],[TWSTop]]*SIN(RADIANS(Targets_DW[[#This Row],[TWA (deg)]]+Targets_DW[[#This Row],[LEEWAY (deg)]]))/Targets_DW[[#This Row],[AWSTop]]))</f>
        <v>#ERROR!</v>
      </c>
      <c r="AE83" s="33" t="str">
        <f>Targets_DW[[#This Row],[AWA+Leeway Top]]-Targets_DW[[#This Row],[ROT (deg)]]</f>
        <v>#ERROR!</v>
      </c>
      <c r="AF83" s="33" t="str">
        <f>Targets_DW[[#This Row],[CLEW (deg)]]+Targets_DW[[#This Row],[TWIST (deg)]]</f>
        <v>#ERROR!</v>
      </c>
      <c r="AG83" s="34" t="str">
        <f>Targets_DW[[#This Row],[AWA+Leeway Top]]-Targets_DW[[#This Row],[CA6]]</f>
        <v>#ERROR!</v>
      </c>
      <c r="AH83" s="29" t="str">
        <f>Targets_DW[[#This Row],[AWA+Leeway]]-Targets_DW[[#This Row],[JibLead (deg)]]</f>
        <v>#ERROR!</v>
      </c>
    </row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63"/>
    <col customWidth="1" min="3" max="3" width="10.5"/>
    <col customWidth="1" min="4" max="4" width="11.63"/>
    <col customWidth="1" min="5" max="6" width="8.63"/>
    <col customWidth="1" min="7" max="7" width="12.63"/>
    <col customWidth="1" min="8" max="8" width="8.63"/>
    <col customWidth="1" min="9" max="9" width="10.5"/>
    <col customWidth="1" min="10" max="10" width="11.63"/>
    <col customWidth="1" min="11" max="12" width="8.63"/>
    <col customWidth="1" min="13" max="13" width="12.63"/>
    <col customWidth="1" min="14" max="14" width="8.63"/>
    <col customWidth="1" min="15" max="15" width="10.5"/>
    <col customWidth="1" min="16" max="16" width="11.63"/>
    <col customWidth="1" min="17" max="18" width="8.63"/>
    <col customWidth="1" min="19" max="19" width="12.63"/>
    <col customWidth="1" min="20" max="20" width="8.63"/>
    <col customWidth="1" min="21" max="21" width="10.5"/>
    <col customWidth="1" min="22" max="22" width="11.63"/>
    <col customWidth="1" min="23" max="24" width="8.63"/>
    <col customWidth="1" min="25" max="25" width="14.63"/>
    <col customWidth="1" min="26" max="27" width="8.63"/>
    <col customWidth="1" min="28" max="28" width="12.63"/>
    <col customWidth="1" min="29" max="29" width="10.5"/>
    <col customWidth="1" min="30" max="31" width="12.63"/>
    <col customWidth="1" min="32" max="37" width="8.63"/>
    <col customWidth="1" min="38" max="38" width="13.13"/>
    <col customWidth="1" min="39" max="39" width="10.63"/>
    <col customWidth="1" min="40" max="48" width="8.63"/>
  </cols>
  <sheetData>
    <row r="1" ht="14.25" customHeight="1"/>
    <row r="2" ht="14.25" customHeight="1"/>
    <row r="3" ht="14.25" customHeight="1">
      <c r="B3" s="35" t="s">
        <v>43</v>
      </c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7"/>
    </row>
    <row r="4" ht="14.25" customHeight="1">
      <c r="B4" s="35" t="s">
        <v>38</v>
      </c>
      <c r="C4" s="36"/>
      <c r="D4" s="36"/>
      <c r="E4" s="36"/>
      <c r="F4" s="36"/>
      <c r="G4" s="36"/>
      <c r="H4" s="36"/>
      <c r="I4" s="36"/>
      <c r="J4" s="36"/>
      <c r="K4" s="36"/>
      <c r="L4" s="36"/>
      <c r="M4" s="37"/>
      <c r="N4" s="35" t="s">
        <v>35</v>
      </c>
      <c r="O4" s="36"/>
      <c r="P4" s="36"/>
      <c r="Q4" s="36"/>
      <c r="R4" s="36"/>
      <c r="S4" s="36"/>
      <c r="T4" s="36"/>
      <c r="U4" s="36"/>
      <c r="V4" s="36"/>
      <c r="W4" s="36"/>
      <c r="X4" s="36"/>
      <c r="Y4" s="37"/>
      <c r="AB4" s="35" t="s">
        <v>35</v>
      </c>
      <c r="AC4" s="37"/>
      <c r="AL4" s="35" t="s">
        <v>38</v>
      </c>
      <c r="AM4" s="37"/>
    </row>
    <row r="5" ht="14.25" customHeight="1">
      <c r="B5" s="35" t="s">
        <v>44</v>
      </c>
      <c r="C5" s="36"/>
      <c r="D5" s="36"/>
      <c r="E5" s="36"/>
      <c r="F5" s="36"/>
      <c r="G5" s="37"/>
      <c r="H5" s="35" t="s">
        <v>45</v>
      </c>
      <c r="I5" s="36"/>
      <c r="J5" s="36"/>
      <c r="K5" s="36"/>
      <c r="L5" s="36"/>
      <c r="M5" s="37"/>
      <c r="N5" s="35" t="s">
        <v>45</v>
      </c>
      <c r="O5" s="36"/>
      <c r="P5" s="36"/>
      <c r="Q5" s="36"/>
      <c r="R5" s="36"/>
      <c r="S5" s="37"/>
      <c r="T5" s="35" t="s">
        <v>46</v>
      </c>
      <c r="U5" s="36"/>
      <c r="V5" s="36"/>
      <c r="W5" s="36"/>
      <c r="X5" s="36"/>
      <c r="Y5" s="37"/>
      <c r="AB5" s="38" t="s">
        <v>47</v>
      </c>
      <c r="AC5" s="38" t="s">
        <v>48</v>
      </c>
      <c r="AL5" s="39" t="s">
        <v>47</v>
      </c>
      <c r="AM5" s="38" t="s">
        <v>48</v>
      </c>
    </row>
    <row r="6" ht="14.25" customHeight="1">
      <c r="B6" s="40" t="s">
        <v>49</v>
      </c>
      <c r="C6" s="40" t="s">
        <v>48</v>
      </c>
      <c r="D6" s="40" t="s">
        <v>50</v>
      </c>
      <c r="E6" s="40" t="s">
        <v>51</v>
      </c>
      <c r="F6" s="41" t="s">
        <v>52</v>
      </c>
      <c r="G6" s="41" t="s">
        <v>47</v>
      </c>
      <c r="H6" s="40" t="s">
        <v>49</v>
      </c>
      <c r="I6" s="40" t="s">
        <v>48</v>
      </c>
      <c r="J6" s="40" t="s">
        <v>50</v>
      </c>
      <c r="K6" s="40" t="s">
        <v>51</v>
      </c>
      <c r="L6" s="41" t="s">
        <v>52</v>
      </c>
      <c r="M6" s="41" t="s">
        <v>47</v>
      </c>
      <c r="N6" s="40" t="s">
        <v>49</v>
      </c>
      <c r="O6" s="40" t="s">
        <v>48</v>
      </c>
      <c r="P6" s="40" t="s">
        <v>50</v>
      </c>
      <c r="Q6" s="40" t="s">
        <v>51</v>
      </c>
      <c r="R6" s="41" t="s">
        <v>52</v>
      </c>
      <c r="S6" s="41" t="s">
        <v>47</v>
      </c>
      <c r="T6" s="40" t="s">
        <v>49</v>
      </c>
      <c r="U6" s="40" t="s">
        <v>48</v>
      </c>
      <c r="V6" s="40" t="s">
        <v>50</v>
      </c>
      <c r="W6" s="40" t="s">
        <v>51</v>
      </c>
      <c r="X6" s="40" t="s">
        <v>52</v>
      </c>
      <c r="Y6" s="38" t="s">
        <v>47</v>
      </c>
      <c r="AB6" s="38">
        <v>34.0</v>
      </c>
      <c r="AC6" s="38">
        <v>4.0</v>
      </c>
      <c r="AL6" s="38">
        <v>30.0</v>
      </c>
      <c r="AM6" s="38">
        <v>3.5</v>
      </c>
    </row>
    <row r="7" ht="14.25" customHeight="1">
      <c r="B7" s="38">
        <v>12.0</v>
      </c>
      <c r="C7" s="38">
        <v>3.5</v>
      </c>
      <c r="D7" s="38" t="s">
        <v>53</v>
      </c>
      <c r="E7" s="38">
        <v>8.5</v>
      </c>
      <c r="F7" s="38">
        <v>35.0</v>
      </c>
      <c r="G7" s="38">
        <v>30.0</v>
      </c>
      <c r="H7" s="38">
        <v>16.0</v>
      </c>
      <c r="I7" s="38">
        <v>3.2</v>
      </c>
      <c r="J7" s="38" t="s">
        <v>53</v>
      </c>
      <c r="K7" s="38">
        <v>8.0</v>
      </c>
      <c r="L7" s="38">
        <v>38.0</v>
      </c>
      <c r="M7" s="38">
        <v>32.0</v>
      </c>
      <c r="N7" s="38">
        <v>22.0</v>
      </c>
      <c r="O7" s="38">
        <v>3.7</v>
      </c>
      <c r="P7" s="38" t="s">
        <v>54</v>
      </c>
      <c r="Q7" s="38">
        <v>9.0</v>
      </c>
      <c r="R7" s="38">
        <v>49.0</v>
      </c>
      <c r="S7" s="38">
        <v>39.5</v>
      </c>
      <c r="T7" s="38">
        <v>20.0</v>
      </c>
      <c r="U7" s="38">
        <v>3.6</v>
      </c>
      <c r="V7" s="38" t="s">
        <v>55</v>
      </c>
      <c r="W7" s="38">
        <v>8.0</v>
      </c>
      <c r="X7" s="38">
        <v>46.0</v>
      </c>
      <c r="Y7" s="38">
        <v>40.0</v>
      </c>
      <c r="AB7" s="38">
        <v>39.5</v>
      </c>
      <c r="AC7" s="38">
        <v>3.7</v>
      </c>
      <c r="AL7" s="38">
        <v>31.0</v>
      </c>
      <c r="AM7" s="38">
        <v>3.4</v>
      </c>
    </row>
    <row r="8" ht="14.25" customHeight="1">
      <c r="B8" s="38">
        <v>14.0</v>
      </c>
      <c r="C8" s="38">
        <v>3.4</v>
      </c>
      <c r="D8" s="38" t="s">
        <v>53</v>
      </c>
      <c r="E8" s="38">
        <v>8.0</v>
      </c>
      <c r="F8" s="38">
        <v>36.0</v>
      </c>
      <c r="G8" s="38">
        <v>31.0</v>
      </c>
      <c r="H8" s="38">
        <v>18.0</v>
      </c>
      <c r="I8" s="38">
        <v>2.7</v>
      </c>
      <c r="J8" s="38" t="s">
        <v>53</v>
      </c>
      <c r="K8" s="38">
        <v>8.0</v>
      </c>
      <c r="L8" s="38">
        <v>40.0</v>
      </c>
      <c r="M8" s="38">
        <v>33.5</v>
      </c>
      <c r="N8" s="38">
        <v>25.0</v>
      </c>
      <c r="O8" s="38">
        <v>3.5</v>
      </c>
      <c r="P8" s="38" t="s">
        <v>53</v>
      </c>
      <c r="Q8" s="38">
        <v>9.0</v>
      </c>
      <c r="R8" s="38">
        <v>49.0</v>
      </c>
      <c r="S8" s="38">
        <v>41.0</v>
      </c>
      <c r="T8" s="38">
        <v>24.0</v>
      </c>
      <c r="U8" s="38">
        <v>0.5</v>
      </c>
      <c r="V8" s="38" t="s">
        <v>56</v>
      </c>
      <c r="W8" s="38">
        <v>8.0</v>
      </c>
      <c r="X8" s="38">
        <v>53.0</v>
      </c>
      <c r="Y8" s="38">
        <v>45.0</v>
      </c>
      <c r="AB8" s="38">
        <v>41.0</v>
      </c>
      <c r="AC8" s="38">
        <v>3.5</v>
      </c>
      <c r="AL8" s="38">
        <v>32.0</v>
      </c>
      <c r="AM8" s="38">
        <v>3.2</v>
      </c>
    </row>
    <row r="9" ht="14.25" customHeight="1">
      <c r="B9" s="38">
        <v>16.0</v>
      </c>
      <c r="C9" s="38">
        <v>3.2</v>
      </c>
      <c r="D9" s="38" t="s">
        <v>53</v>
      </c>
      <c r="E9" s="38">
        <v>7.5</v>
      </c>
      <c r="F9" s="38">
        <v>37.0</v>
      </c>
      <c r="G9" s="38">
        <v>32.0</v>
      </c>
      <c r="H9" s="38">
        <v>20.0</v>
      </c>
      <c r="I9" s="38">
        <v>2.0</v>
      </c>
      <c r="J9" s="38" t="s">
        <v>53</v>
      </c>
      <c r="K9" s="38">
        <v>8.0</v>
      </c>
      <c r="L9" s="38">
        <v>41.0</v>
      </c>
      <c r="M9" s="38">
        <v>34.5</v>
      </c>
      <c r="N9" s="38">
        <v>28.0</v>
      </c>
      <c r="O9" s="38">
        <v>3.0</v>
      </c>
      <c r="P9" s="38" t="s">
        <v>53</v>
      </c>
      <c r="Q9" s="38">
        <v>9.0</v>
      </c>
      <c r="R9" s="38">
        <v>51.0</v>
      </c>
      <c r="S9" s="38">
        <v>43.0</v>
      </c>
      <c r="T9" s="38">
        <v>28.0</v>
      </c>
      <c r="U9" s="38">
        <v>-0.7</v>
      </c>
      <c r="V9" s="38" t="s">
        <v>55</v>
      </c>
      <c r="W9" s="38">
        <v>8.0</v>
      </c>
      <c r="X9" s="38">
        <v>56.0</v>
      </c>
      <c r="Y9" s="38">
        <v>46.0</v>
      </c>
      <c r="AB9" s="38">
        <v>43.0</v>
      </c>
      <c r="AC9" s="38">
        <v>3.0</v>
      </c>
      <c r="AL9" s="38">
        <v>33.5</v>
      </c>
      <c r="AM9" s="38">
        <v>2.7</v>
      </c>
    </row>
    <row r="10" ht="14.25" customHeight="1">
      <c r="T10" s="38">
        <v>32.0</v>
      </c>
      <c r="U10" s="38">
        <v>-2.0</v>
      </c>
      <c r="V10" s="38" t="s">
        <v>55</v>
      </c>
      <c r="W10" s="38">
        <v>8.5</v>
      </c>
      <c r="X10" s="38">
        <v>56.0</v>
      </c>
      <c r="Y10" s="38">
        <v>47.0</v>
      </c>
      <c r="AB10" s="38">
        <v>45.0</v>
      </c>
      <c r="AC10" s="38">
        <v>0.5</v>
      </c>
      <c r="AL10" s="38">
        <v>34.5</v>
      </c>
      <c r="AM10" s="38">
        <v>2.0</v>
      </c>
    </row>
    <row r="11" ht="14.25" customHeight="1">
      <c r="T11" s="38">
        <v>34.0</v>
      </c>
      <c r="U11" s="38">
        <v>-2.0</v>
      </c>
      <c r="V11" s="38" t="s">
        <v>55</v>
      </c>
      <c r="W11" s="38">
        <v>8.5</v>
      </c>
      <c r="X11" s="38">
        <v>56.0</v>
      </c>
      <c r="Y11" s="38">
        <v>47.0</v>
      </c>
      <c r="AB11" s="38">
        <v>46.0</v>
      </c>
      <c r="AC11" s="38">
        <v>-0.7</v>
      </c>
    </row>
    <row r="12" ht="14.25" customHeight="1">
      <c r="T12" s="38">
        <v>38.0</v>
      </c>
      <c r="U12" s="38">
        <v>-2.0</v>
      </c>
      <c r="V12" s="38" t="s">
        <v>55</v>
      </c>
      <c r="W12" s="38">
        <v>8.5</v>
      </c>
      <c r="X12" s="38">
        <v>56.0</v>
      </c>
      <c r="Y12" s="38">
        <v>47.0</v>
      </c>
      <c r="AB12" s="38">
        <v>47.0</v>
      </c>
      <c r="AC12" s="38">
        <v>-2.0</v>
      </c>
    </row>
    <row r="13" ht="14.25" customHeight="1">
      <c r="T13" s="38">
        <v>42.0</v>
      </c>
      <c r="U13" s="38">
        <v>-2.0</v>
      </c>
      <c r="V13" s="38" t="s">
        <v>55</v>
      </c>
      <c r="W13" s="38">
        <v>9.0</v>
      </c>
      <c r="X13" s="38">
        <v>56.0</v>
      </c>
      <c r="Y13" s="38">
        <v>47.0</v>
      </c>
    </row>
    <row r="14" ht="14.25" customHeight="1"/>
    <row r="15" ht="14.25" customHeight="1"/>
    <row r="16" ht="14.25" customHeight="1"/>
    <row r="17" ht="14.25" customHeight="1"/>
    <row r="18" ht="14.25" customHeight="1">
      <c r="B18" s="35" t="s">
        <v>57</v>
      </c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7"/>
    </row>
    <row r="19" ht="14.25" customHeight="1">
      <c r="B19" s="35" t="s">
        <v>38</v>
      </c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7"/>
      <c r="N19" s="35" t="s">
        <v>35</v>
      </c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7"/>
    </row>
    <row r="20" ht="14.25" customHeight="1">
      <c r="B20" s="35" t="s">
        <v>44</v>
      </c>
      <c r="C20" s="36"/>
      <c r="D20" s="36"/>
      <c r="E20" s="36"/>
      <c r="F20" s="36"/>
      <c r="G20" s="37"/>
      <c r="H20" s="35" t="s">
        <v>45</v>
      </c>
      <c r="I20" s="36"/>
      <c r="J20" s="36"/>
      <c r="K20" s="36"/>
      <c r="L20" s="36"/>
      <c r="M20" s="37"/>
      <c r="N20" s="35" t="s">
        <v>45</v>
      </c>
      <c r="O20" s="36"/>
      <c r="P20" s="36"/>
      <c r="Q20" s="36"/>
      <c r="R20" s="36"/>
      <c r="S20" s="37"/>
      <c r="T20" s="35" t="s">
        <v>46</v>
      </c>
      <c r="U20" s="36"/>
      <c r="V20" s="36"/>
      <c r="W20" s="36"/>
      <c r="X20" s="36"/>
      <c r="Y20" s="37"/>
      <c r="AB20" s="35" t="s">
        <v>35</v>
      </c>
      <c r="AC20" s="37"/>
      <c r="AL20" s="35" t="s">
        <v>38</v>
      </c>
      <c r="AM20" s="37"/>
    </row>
    <row r="21" ht="14.25" customHeight="1">
      <c r="B21" s="40" t="s">
        <v>49</v>
      </c>
      <c r="C21" s="40" t="s">
        <v>48</v>
      </c>
      <c r="D21" s="40" t="s">
        <v>50</v>
      </c>
      <c r="E21" s="40" t="s">
        <v>51</v>
      </c>
      <c r="F21" s="41" t="s">
        <v>52</v>
      </c>
      <c r="G21" s="41" t="s">
        <v>47</v>
      </c>
      <c r="H21" s="40" t="s">
        <v>49</v>
      </c>
      <c r="I21" s="40" t="s">
        <v>48</v>
      </c>
      <c r="J21" s="40" t="s">
        <v>50</v>
      </c>
      <c r="K21" s="40" t="s">
        <v>51</v>
      </c>
      <c r="L21" s="41" t="s">
        <v>52</v>
      </c>
      <c r="M21" s="41" t="s">
        <v>47</v>
      </c>
      <c r="N21" s="40" t="s">
        <v>49</v>
      </c>
      <c r="O21" s="40" t="s">
        <v>48</v>
      </c>
      <c r="P21" s="40" t="s">
        <v>50</v>
      </c>
      <c r="Q21" s="40" t="s">
        <v>51</v>
      </c>
      <c r="R21" s="41" t="s">
        <v>52</v>
      </c>
      <c r="S21" s="41" t="s">
        <v>47</v>
      </c>
      <c r="T21" s="40" t="s">
        <v>49</v>
      </c>
      <c r="U21" s="40" t="s">
        <v>48</v>
      </c>
      <c r="V21" s="40" t="s">
        <v>50</v>
      </c>
      <c r="W21" s="40" t="s">
        <v>51</v>
      </c>
      <c r="X21" s="40" t="s">
        <v>52</v>
      </c>
      <c r="Y21" s="38" t="s">
        <v>47</v>
      </c>
      <c r="AB21" s="38" t="s">
        <v>47</v>
      </c>
      <c r="AC21" s="38" t="s">
        <v>58</v>
      </c>
      <c r="AL21" s="38" t="s">
        <v>47</v>
      </c>
      <c r="AM21" s="38" t="s">
        <v>58</v>
      </c>
    </row>
    <row r="22" ht="14.25" customHeight="1">
      <c r="B22" s="38">
        <v>12.0</v>
      </c>
      <c r="C22" s="38">
        <v>2.0</v>
      </c>
      <c r="D22" s="38" t="s">
        <v>59</v>
      </c>
      <c r="E22" s="38">
        <v>8.0</v>
      </c>
      <c r="F22" s="38">
        <v>36.0</v>
      </c>
      <c r="G22" s="38">
        <v>33.0</v>
      </c>
      <c r="H22" s="38">
        <v>13.0</v>
      </c>
      <c r="I22" s="38">
        <v>1.6</v>
      </c>
      <c r="J22" s="38" t="s">
        <v>59</v>
      </c>
      <c r="K22" s="38">
        <v>8.5</v>
      </c>
      <c r="L22" s="38">
        <v>44.5</v>
      </c>
      <c r="M22" s="38">
        <v>38.5</v>
      </c>
      <c r="N22" s="38">
        <v>22.0</v>
      </c>
      <c r="O22" s="38">
        <v>-1.5</v>
      </c>
      <c r="P22" s="38" t="s">
        <v>53</v>
      </c>
      <c r="Q22" s="38">
        <v>9.5</v>
      </c>
      <c r="R22" s="38">
        <v>55.0</v>
      </c>
      <c r="S22" s="38">
        <v>48.5</v>
      </c>
      <c r="T22" s="38">
        <v>20.0</v>
      </c>
      <c r="U22" s="38">
        <v>-2.0</v>
      </c>
      <c r="V22" s="38" t="s">
        <v>60</v>
      </c>
      <c r="W22" s="38">
        <v>9.0</v>
      </c>
      <c r="X22" s="38">
        <v>58.0</v>
      </c>
      <c r="Y22" s="38">
        <v>51.5</v>
      </c>
      <c r="AB22" s="38">
        <v>45.0</v>
      </c>
      <c r="AC22" s="38">
        <v>-1.0</v>
      </c>
      <c r="AL22" s="38">
        <v>33.0</v>
      </c>
      <c r="AM22" s="38">
        <v>2.0</v>
      </c>
    </row>
    <row r="23" ht="14.25" customHeight="1">
      <c r="B23" s="38">
        <v>14.0</v>
      </c>
      <c r="C23" s="38">
        <v>1.8</v>
      </c>
      <c r="D23" s="38" t="s">
        <v>60</v>
      </c>
      <c r="E23" s="38">
        <v>8.5</v>
      </c>
      <c r="F23" s="38">
        <v>42.0</v>
      </c>
      <c r="G23" s="38">
        <v>36.5</v>
      </c>
      <c r="H23" s="38">
        <v>16.0</v>
      </c>
      <c r="I23" s="38">
        <v>1.5</v>
      </c>
      <c r="J23" s="38" t="s">
        <v>59</v>
      </c>
      <c r="K23" s="38">
        <v>8.5</v>
      </c>
      <c r="L23" s="38">
        <v>45.0</v>
      </c>
      <c r="M23" s="38">
        <v>39.0</v>
      </c>
      <c r="N23" s="38">
        <v>25.0</v>
      </c>
      <c r="O23" s="38">
        <v>-2.5</v>
      </c>
      <c r="P23" s="38" t="s">
        <v>61</v>
      </c>
      <c r="Q23" s="38">
        <v>10.0</v>
      </c>
      <c r="R23" s="38">
        <v>64.0</v>
      </c>
      <c r="S23" s="38">
        <v>54.5</v>
      </c>
      <c r="T23" s="38">
        <v>24.0</v>
      </c>
      <c r="U23" s="38">
        <v>-2.5</v>
      </c>
      <c r="V23" s="38" t="s">
        <v>53</v>
      </c>
      <c r="W23" s="38">
        <v>9.5</v>
      </c>
      <c r="X23" s="38">
        <v>63.0</v>
      </c>
      <c r="Y23" s="38">
        <v>54.0</v>
      </c>
      <c r="AB23" s="38">
        <v>48.5</v>
      </c>
      <c r="AC23" s="38">
        <v>-1.5</v>
      </c>
      <c r="AL23" s="38">
        <v>36.5</v>
      </c>
      <c r="AM23" s="38">
        <v>1.8</v>
      </c>
    </row>
    <row r="24" ht="14.25" customHeight="1">
      <c r="B24" s="38">
        <v>16.0</v>
      </c>
      <c r="C24" s="38">
        <v>1.75</v>
      </c>
      <c r="D24" s="38" t="s">
        <v>55</v>
      </c>
      <c r="E24" s="38">
        <v>9.0</v>
      </c>
      <c r="F24" s="38">
        <v>44.0</v>
      </c>
      <c r="G24" s="38">
        <v>37.0</v>
      </c>
      <c r="H24" s="38">
        <v>18.0</v>
      </c>
      <c r="I24" s="38">
        <v>0.9</v>
      </c>
      <c r="J24" s="38" t="s">
        <v>59</v>
      </c>
      <c r="K24" s="38">
        <v>8.7</v>
      </c>
      <c r="L24" s="38">
        <v>49.0</v>
      </c>
      <c r="M24" s="38">
        <v>41.0</v>
      </c>
      <c r="N24" s="38">
        <v>28.0</v>
      </c>
      <c r="O24" s="38">
        <v>-3.0</v>
      </c>
      <c r="P24" s="38" t="s">
        <v>54</v>
      </c>
      <c r="Q24" s="38">
        <v>10.0</v>
      </c>
      <c r="R24" s="38">
        <v>68.0</v>
      </c>
      <c r="S24" s="38">
        <v>57.0</v>
      </c>
      <c r="T24" s="38">
        <v>28.0</v>
      </c>
      <c r="U24" s="38">
        <v>-3.2</v>
      </c>
      <c r="V24" s="38" t="s">
        <v>55</v>
      </c>
      <c r="W24" s="38">
        <v>9.5</v>
      </c>
      <c r="X24" s="38">
        <v>71.0</v>
      </c>
      <c r="Y24" s="38">
        <v>59.0</v>
      </c>
      <c r="AB24" s="38">
        <v>51.5</v>
      </c>
      <c r="AC24" s="38">
        <v>-2.0</v>
      </c>
      <c r="AL24" s="38">
        <v>37.0</v>
      </c>
      <c r="AM24" s="38">
        <v>1.75</v>
      </c>
    </row>
    <row r="25" ht="14.25" customHeight="1">
      <c r="H25" s="38">
        <v>20.0</v>
      </c>
      <c r="I25" s="38">
        <v>-0.5</v>
      </c>
      <c r="J25" s="38" t="s">
        <v>60</v>
      </c>
      <c r="K25" s="38">
        <v>9.0</v>
      </c>
      <c r="L25" s="38">
        <v>52.0</v>
      </c>
      <c r="M25" s="38">
        <v>43.0</v>
      </c>
      <c r="T25" s="38">
        <v>32.0</v>
      </c>
      <c r="U25" s="38">
        <v>-3.5</v>
      </c>
      <c r="V25" s="38" t="s">
        <v>61</v>
      </c>
      <c r="W25" s="38">
        <v>10.0</v>
      </c>
      <c r="X25" s="38">
        <v>74.0</v>
      </c>
      <c r="Y25" s="38">
        <v>60.5</v>
      </c>
      <c r="AB25" s="38">
        <v>54.0</v>
      </c>
      <c r="AC25" s="38">
        <v>-2.5</v>
      </c>
      <c r="AL25" s="38">
        <v>38.5</v>
      </c>
      <c r="AM25" s="38">
        <v>1.6</v>
      </c>
    </row>
    <row r="26" ht="14.25" customHeight="1">
      <c r="T26" s="38">
        <v>34.0</v>
      </c>
      <c r="U26" s="38">
        <v>-3.7</v>
      </c>
      <c r="V26" s="38" t="s">
        <v>61</v>
      </c>
      <c r="W26" s="38">
        <v>10.0</v>
      </c>
      <c r="X26" s="38">
        <v>76.0</v>
      </c>
      <c r="Y26" s="38">
        <v>62.0</v>
      </c>
      <c r="AB26" s="38">
        <v>60.5</v>
      </c>
      <c r="AC26" s="38">
        <v>-3.5</v>
      </c>
      <c r="AL26" s="38">
        <v>39.0</v>
      </c>
      <c r="AM26" s="38">
        <v>1.5</v>
      </c>
    </row>
    <row r="27" ht="14.25" customHeight="1">
      <c r="T27" s="38">
        <v>38.0</v>
      </c>
      <c r="U27" s="38">
        <v>-4.0</v>
      </c>
      <c r="V27" s="38" t="s">
        <v>61</v>
      </c>
      <c r="W27" s="38">
        <v>10.0</v>
      </c>
      <c r="X27" s="38">
        <v>77.0</v>
      </c>
      <c r="Y27" s="38">
        <v>63.0</v>
      </c>
      <c r="AB27" s="38">
        <v>63.0</v>
      </c>
      <c r="AC27" s="38">
        <v>-4.0</v>
      </c>
      <c r="AL27" s="38">
        <v>41.0</v>
      </c>
      <c r="AM27" s="38">
        <v>0.9</v>
      </c>
    </row>
    <row r="28" ht="14.25" customHeight="1">
      <c r="T28" s="38">
        <v>42.0</v>
      </c>
      <c r="U28" s="38">
        <v>-4.3</v>
      </c>
      <c r="V28" s="38" t="s">
        <v>61</v>
      </c>
      <c r="W28" s="38">
        <v>10.0</v>
      </c>
      <c r="X28" s="38">
        <v>78.0</v>
      </c>
      <c r="Y28" s="38">
        <v>64.0</v>
      </c>
      <c r="AB28" s="38">
        <v>66.0</v>
      </c>
      <c r="AC28" s="38">
        <v>-4.5</v>
      </c>
      <c r="AL28" s="38">
        <v>43.0</v>
      </c>
      <c r="AM28" s="38">
        <v>-0.5</v>
      </c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8">
    <mergeCell ref="B3:Y3"/>
    <mergeCell ref="B4:M4"/>
    <mergeCell ref="N4:Y4"/>
    <mergeCell ref="AB4:AC4"/>
    <mergeCell ref="AL4:AM4"/>
    <mergeCell ref="B5:G5"/>
    <mergeCell ref="H5:M5"/>
    <mergeCell ref="N20:S20"/>
    <mergeCell ref="T20:Y20"/>
    <mergeCell ref="AB20:AC20"/>
    <mergeCell ref="AL20:AM20"/>
    <mergeCell ref="N5:S5"/>
    <mergeCell ref="T5:Y5"/>
    <mergeCell ref="B18:Y18"/>
    <mergeCell ref="B19:M19"/>
    <mergeCell ref="N19:Y19"/>
    <mergeCell ref="B20:G20"/>
    <mergeCell ref="H20:M20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2025-12-05T08:12:32Z</dcterms:created>
  <dc:creator>Lucas Delcourt</dc:creator>
</cp:coreProperties>
</file>