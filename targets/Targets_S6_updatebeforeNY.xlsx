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ucasDelcourt\Documents\SGP\S6\Targets\"/>
    </mc:Choice>
  </mc:AlternateContent>
  <xr:revisionPtr revIDLastSave="0" documentId="13_ncr:1_{7CAF55A8-81F1-45CF-9F22-5C4E5CAA6546}" xr6:coauthVersionLast="47" xr6:coauthVersionMax="47" xr10:uidLastSave="{00000000-0000-0000-0000-000000000000}"/>
  <bookViews>
    <workbookView xWindow="25490" yWindow="-110" windowWidth="21820" windowHeight="37900" activeTab="1" xr2:uid="{6A336D5F-340B-4F70-A7FE-3A81EB562256}"/>
  </bookViews>
  <sheets>
    <sheet name="UW" sheetId="1" r:id="rId1"/>
    <sheet name="DW" sheetId="3" r:id="rId2"/>
    <sheet name="System" sheetId="4" r:id="rId3"/>
  </sheets>
  <definedNames>
    <definedName name="Foil" localSheetId="1">Targets_DW[[#Headers],[Foil]]</definedName>
    <definedName name="Foil">Targets_UW[[#Headers],[Foil]]</definedName>
    <definedName name="Rudder" localSheetId="1">Targets_DW[[#Headers],[Rudder]]</definedName>
    <definedName name="Rudder">Targets_UW[[#Headers],[Rudder]]</definedName>
    <definedName name="State" localSheetId="1">Targets_DW[[#Headers],[State]]</definedName>
    <definedName name="State">Targets_UW[[#Headers],[State]]</definedName>
    <definedName name="Wing" localSheetId="1">Targets_DW[[#Headers],[Wing]]</definedName>
    <definedName name="Wing">Targets_UW[[#Headers],[Wing]]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1" i="1" l="1"/>
  <c r="AB81" i="1"/>
  <c r="Y81" i="1"/>
  <c r="Z81" i="1" s="1"/>
  <c r="S81" i="1"/>
  <c r="M81" i="1"/>
  <c r="G81" i="1"/>
  <c r="E81" i="1"/>
  <c r="AF80" i="1"/>
  <c r="AB80" i="1"/>
  <c r="Y80" i="1"/>
  <c r="Z80" i="1" s="1"/>
  <c r="S80" i="1"/>
  <c r="M80" i="1"/>
  <c r="G80" i="1"/>
  <c r="E80" i="1"/>
  <c r="AF79" i="1"/>
  <c r="AB79" i="1"/>
  <c r="Y79" i="1"/>
  <c r="Z79" i="1" s="1"/>
  <c r="S79" i="1"/>
  <c r="M79" i="1"/>
  <c r="G79" i="1"/>
  <c r="E79" i="1"/>
  <c r="AF42" i="1"/>
  <c r="AB42" i="1"/>
  <c r="Y42" i="1"/>
  <c r="Z42" i="1" s="1"/>
  <c r="S42" i="1"/>
  <c r="M42" i="1"/>
  <c r="G42" i="1"/>
  <c r="E42" i="1"/>
  <c r="E21" i="1"/>
  <c r="G21" i="1"/>
  <c r="M21" i="1"/>
  <c r="S21" i="1"/>
  <c r="Y21" i="1"/>
  <c r="Z21" i="1" s="1"/>
  <c r="AB21" i="1"/>
  <c r="AC21" i="1" s="1"/>
  <c r="AD21" i="1" s="1"/>
  <c r="AF21" i="1"/>
  <c r="AF18" i="3"/>
  <c r="AB18" i="3"/>
  <c r="Y18" i="3"/>
  <c r="Z18" i="3" s="1"/>
  <c r="AH18" i="3" s="1"/>
  <c r="S18" i="3"/>
  <c r="M18" i="3"/>
  <c r="G18" i="3"/>
  <c r="E18" i="3"/>
  <c r="AF17" i="3"/>
  <c r="AB17" i="3"/>
  <c r="Y17" i="3"/>
  <c r="Z17" i="3" s="1"/>
  <c r="S17" i="3"/>
  <c r="M17" i="3"/>
  <c r="G17" i="3"/>
  <c r="E17" i="3"/>
  <c r="AF16" i="3"/>
  <c r="AB16" i="3"/>
  <c r="Y16" i="3"/>
  <c r="Z16" i="3" s="1"/>
  <c r="S16" i="3"/>
  <c r="M16" i="3"/>
  <c r="G16" i="3"/>
  <c r="E16" i="3"/>
  <c r="AF20" i="1"/>
  <c r="AB20" i="1"/>
  <c r="Y20" i="1"/>
  <c r="Z20" i="1" s="1"/>
  <c r="S20" i="1"/>
  <c r="M20" i="1"/>
  <c r="G20" i="1"/>
  <c r="E20" i="1"/>
  <c r="AF19" i="1"/>
  <c r="AB19" i="1"/>
  <c r="Y19" i="1"/>
  <c r="Z19" i="1" s="1"/>
  <c r="S19" i="1"/>
  <c r="M19" i="1"/>
  <c r="G19" i="1"/>
  <c r="E19" i="1"/>
  <c r="AF18" i="1"/>
  <c r="AB18" i="1"/>
  <c r="Y18" i="1"/>
  <c r="Z18" i="1" s="1"/>
  <c r="S18" i="1"/>
  <c r="M18" i="1"/>
  <c r="G18" i="1"/>
  <c r="E18" i="1"/>
  <c r="AF17" i="1"/>
  <c r="AB17" i="1"/>
  <c r="Y17" i="1"/>
  <c r="Z17" i="1" s="1"/>
  <c r="S17" i="1"/>
  <c r="M17" i="1"/>
  <c r="G17" i="1"/>
  <c r="E17" i="1"/>
  <c r="E76" i="3"/>
  <c r="G76" i="3"/>
  <c r="M76" i="3"/>
  <c r="S76" i="3"/>
  <c r="Y76" i="3"/>
  <c r="Z76" i="3" s="1"/>
  <c r="AH76" i="3" s="1"/>
  <c r="AB76" i="3"/>
  <c r="AC76" i="3" s="1"/>
  <c r="AD76" i="3" s="1"/>
  <c r="AF76" i="3"/>
  <c r="E77" i="3"/>
  <c r="G77" i="3"/>
  <c r="M77" i="3"/>
  <c r="S77" i="3"/>
  <c r="Y77" i="3"/>
  <c r="Z77" i="3" s="1"/>
  <c r="AB77" i="3"/>
  <c r="AC77" i="3" s="1"/>
  <c r="AD77" i="3" s="1"/>
  <c r="AF77" i="3"/>
  <c r="E67" i="3"/>
  <c r="G67" i="3"/>
  <c r="M67" i="3"/>
  <c r="S67" i="3"/>
  <c r="Y67" i="3"/>
  <c r="Z67" i="3" s="1"/>
  <c r="AB67" i="3"/>
  <c r="AC67" i="3" s="1"/>
  <c r="AD67" i="3" s="1"/>
  <c r="AF67" i="3"/>
  <c r="E68" i="3"/>
  <c r="G68" i="3"/>
  <c r="M68" i="3"/>
  <c r="S68" i="3"/>
  <c r="Y68" i="3"/>
  <c r="Z68" i="3" s="1"/>
  <c r="AB68" i="3"/>
  <c r="AC68" i="3" s="1"/>
  <c r="AF68" i="3"/>
  <c r="E69" i="3"/>
  <c r="G69" i="3"/>
  <c r="M69" i="3"/>
  <c r="S69" i="3"/>
  <c r="Y69" i="3"/>
  <c r="Z69" i="3" s="1"/>
  <c r="AB69" i="3"/>
  <c r="AC69" i="3" s="1"/>
  <c r="AF69" i="3"/>
  <c r="E70" i="3"/>
  <c r="G70" i="3"/>
  <c r="M70" i="3"/>
  <c r="S70" i="3"/>
  <c r="Y70" i="3"/>
  <c r="Z70" i="3" s="1"/>
  <c r="AB70" i="3"/>
  <c r="AC70" i="3" s="1"/>
  <c r="AF70" i="3"/>
  <c r="E62" i="3"/>
  <c r="G62" i="3"/>
  <c r="M62" i="3"/>
  <c r="S62" i="3"/>
  <c r="Y62" i="3"/>
  <c r="Z62" i="3" s="1"/>
  <c r="AB62" i="3"/>
  <c r="AC62" i="3" s="1"/>
  <c r="AF62" i="3"/>
  <c r="E61" i="3"/>
  <c r="G61" i="3"/>
  <c r="M61" i="3"/>
  <c r="S61" i="3"/>
  <c r="Y61" i="3"/>
  <c r="Z61" i="3" s="1"/>
  <c r="AB61" i="3"/>
  <c r="AC61" i="3" s="1"/>
  <c r="AD61" i="3" s="1"/>
  <c r="AF61" i="3"/>
  <c r="E59" i="3"/>
  <c r="G59" i="3"/>
  <c r="M59" i="3"/>
  <c r="S59" i="3"/>
  <c r="Y59" i="3"/>
  <c r="Z59" i="3" s="1"/>
  <c r="AB59" i="3"/>
  <c r="AC59" i="3" s="1"/>
  <c r="AF59" i="3"/>
  <c r="E60" i="3"/>
  <c r="G60" i="3"/>
  <c r="M60" i="3"/>
  <c r="S60" i="3"/>
  <c r="Y60" i="3"/>
  <c r="Z60" i="3" s="1"/>
  <c r="AB60" i="3"/>
  <c r="AC60" i="3" s="1"/>
  <c r="AF60" i="3"/>
  <c r="E73" i="1"/>
  <c r="G73" i="1"/>
  <c r="M73" i="1"/>
  <c r="S73" i="1"/>
  <c r="Y73" i="1"/>
  <c r="Z73" i="1" s="1"/>
  <c r="AB73" i="1"/>
  <c r="AC73" i="1" s="1"/>
  <c r="AD73" i="1" s="1"/>
  <c r="AF73" i="1"/>
  <c r="E62" i="1"/>
  <c r="G62" i="1"/>
  <c r="M62" i="1"/>
  <c r="S62" i="1"/>
  <c r="Y62" i="1"/>
  <c r="Z62" i="1" s="1"/>
  <c r="AB62" i="1"/>
  <c r="AC62" i="1" s="1"/>
  <c r="AF62" i="1"/>
  <c r="E86" i="1"/>
  <c r="G86" i="1"/>
  <c r="M86" i="1"/>
  <c r="S86" i="1"/>
  <c r="Y86" i="1"/>
  <c r="Z86" i="1" s="1"/>
  <c r="AB86" i="1"/>
  <c r="AC86" i="1" s="1"/>
  <c r="AF86" i="1"/>
  <c r="E75" i="3"/>
  <c r="G75" i="3"/>
  <c r="M75" i="3"/>
  <c r="S75" i="3"/>
  <c r="Y75" i="3"/>
  <c r="Z75" i="3" s="1"/>
  <c r="AB75" i="3"/>
  <c r="AC75" i="3" s="1"/>
  <c r="AD75" i="3" s="1"/>
  <c r="AF75" i="3"/>
  <c r="E74" i="3"/>
  <c r="G74" i="3"/>
  <c r="M74" i="3"/>
  <c r="S74" i="3"/>
  <c r="Y74" i="3"/>
  <c r="Z74" i="3" s="1"/>
  <c r="AB74" i="3"/>
  <c r="AC74" i="3" s="1"/>
  <c r="AF74" i="3"/>
  <c r="E58" i="3"/>
  <c r="G58" i="3"/>
  <c r="M58" i="3"/>
  <c r="S58" i="3"/>
  <c r="Y58" i="3"/>
  <c r="Z58" i="3" s="1"/>
  <c r="AB58" i="3"/>
  <c r="AC58" i="3" s="1"/>
  <c r="AF58" i="3"/>
  <c r="G49" i="3"/>
  <c r="G50" i="3"/>
  <c r="G51" i="3"/>
  <c r="G52" i="3"/>
  <c r="G53" i="3"/>
  <c r="E26" i="3"/>
  <c r="G26" i="3"/>
  <c r="M26" i="3"/>
  <c r="S26" i="3"/>
  <c r="Y26" i="3"/>
  <c r="Z26" i="3" s="1"/>
  <c r="AB26" i="3"/>
  <c r="AC26" i="3" s="1"/>
  <c r="AF26" i="3"/>
  <c r="AF83" i="3"/>
  <c r="AB83" i="3"/>
  <c r="Y83" i="3"/>
  <c r="Z83" i="3" s="1"/>
  <c r="S83" i="3"/>
  <c r="M83" i="3"/>
  <c r="G83" i="3"/>
  <c r="E83" i="3"/>
  <c r="AF82" i="3"/>
  <c r="AB82" i="3"/>
  <c r="AC82" i="3" s="1"/>
  <c r="AD82" i="3" s="1"/>
  <c r="Y82" i="3"/>
  <c r="Z82" i="3" s="1"/>
  <c r="S82" i="3"/>
  <c r="M82" i="3"/>
  <c r="G82" i="3"/>
  <c r="E82" i="3"/>
  <c r="AF81" i="3"/>
  <c r="AB81" i="3"/>
  <c r="Y81" i="3"/>
  <c r="Z81" i="3" s="1"/>
  <c r="S81" i="3"/>
  <c r="M81" i="3"/>
  <c r="G81" i="3"/>
  <c r="E81" i="3"/>
  <c r="AF80" i="3"/>
  <c r="AB80" i="3"/>
  <c r="AC80" i="3" s="1"/>
  <c r="AD80" i="3" s="1"/>
  <c r="Y80" i="3"/>
  <c r="Z80" i="3" s="1"/>
  <c r="S80" i="3"/>
  <c r="M80" i="3"/>
  <c r="G80" i="3"/>
  <c r="E80" i="3"/>
  <c r="AF79" i="3"/>
  <c r="AB79" i="3"/>
  <c r="AC79" i="3" s="1"/>
  <c r="AD79" i="3" s="1"/>
  <c r="Y79" i="3"/>
  <c r="Z79" i="3" s="1"/>
  <c r="S79" i="3"/>
  <c r="M79" i="3"/>
  <c r="G79" i="3"/>
  <c r="E79" i="3"/>
  <c r="AF78" i="3"/>
  <c r="AB78" i="3"/>
  <c r="AC78" i="3" s="1"/>
  <c r="AD78" i="3" s="1"/>
  <c r="Y78" i="3"/>
  <c r="Z78" i="3" s="1"/>
  <c r="S78" i="3"/>
  <c r="M78" i="3"/>
  <c r="G78" i="3"/>
  <c r="E78" i="3"/>
  <c r="AF73" i="3"/>
  <c r="AB73" i="3"/>
  <c r="AC73" i="3" s="1"/>
  <c r="AD73" i="3" s="1"/>
  <c r="Y73" i="3"/>
  <c r="Z73" i="3" s="1"/>
  <c r="S73" i="3"/>
  <c r="M73" i="3"/>
  <c r="G73" i="3"/>
  <c r="E73" i="3"/>
  <c r="AF72" i="3"/>
  <c r="AB72" i="3"/>
  <c r="Y72" i="3"/>
  <c r="Z72" i="3" s="1"/>
  <c r="S72" i="3"/>
  <c r="M72" i="3"/>
  <c r="G72" i="3"/>
  <c r="E72" i="3"/>
  <c r="AF71" i="3"/>
  <c r="AB71" i="3"/>
  <c r="AC71" i="3" s="1"/>
  <c r="AD71" i="3" s="1"/>
  <c r="Y71" i="3"/>
  <c r="Z71" i="3" s="1"/>
  <c r="AH71" i="3" s="1"/>
  <c r="S71" i="3"/>
  <c r="M71" i="3"/>
  <c r="G71" i="3"/>
  <c r="E71" i="3"/>
  <c r="AF66" i="3"/>
  <c r="AB66" i="3"/>
  <c r="Y66" i="3"/>
  <c r="Z66" i="3" s="1"/>
  <c r="S66" i="3"/>
  <c r="M66" i="3"/>
  <c r="G66" i="3"/>
  <c r="E66" i="3"/>
  <c r="AF65" i="3"/>
  <c r="AB65" i="3"/>
  <c r="AC65" i="3" s="1"/>
  <c r="AD65" i="3" s="1"/>
  <c r="Y65" i="3"/>
  <c r="Z65" i="3" s="1"/>
  <c r="AH65" i="3" s="1"/>
  <c r="S65" i="3"/>
  <c r="M65" i="3"/>
  <c r="G65" i="3"/>
  <c r="E65" i="3"/>
  <c r="AF64" i="3"/>
  <c r="AB64" i="3"/>
  <c r="AC64" i="3" s="1"/>
  <c r="AD64" i="3" s="1"/>
  <c r="Y64" i="3"/>
  <c r="Z64" i="3" s="1"/>
  <c r="S64" i="3"/>
  <c r="M64" i="3"/>
  <c r="G64" i="3"/>
  <c r="E64" i="3"/>
  <c r="AF63" i="3"/>
  <c r="AB63" i="3"/>
  <c r="Y63" i="3"/>
  <c r="Z63" i="3" s="1"/>
  <c r="S63" i="3"/>
  <c r="M63" i="3"/>
  <c r="G63" i="3"/>
  <c r="E63" i="3"/>
  <c r="AF57" i="3"/>
  <c r="AB57" i="3"/>
  <c r="AC57" i="3" s="1"/>
  <c r="AD57" i="3" s="1"/>
  <c r="Y57" i="3"/>
  <c r="Z57" i="3" s="1"/>
  <c r="S57" i="3"/>
  <c r="M57" i="3"/>
  <c r="G57" i="3"/>
  <c r="E57" i="3"/>
  <c r="AF56" i="3"/>
  <c r="AB56" i="3"/>
  <c r="Y56" i="3"/>
  <c r="Z56" i="3" s="1"/>
  <c r="S56" i="3"/>
  <c r="M56" i="3"/>
  <c r="G56" i="3"/>
  <c r="E56" i="3"/>
  <c r="AF55" i="3"/>
  <c r="AB55" i="3"/>
  <c r="Y55" i="3"/>
  <c r="Z55" i="3" s="1"/>
  <c r="S55" i="3"/>
  <c r="M55" i="3"/>
  <c r="G55" i="3"/>
  <c r="E55" i="3"/>
  <c r="AF54" i="3"/>
  <c r="AB54" i="3"/>
  <c r="AC54" i="3" s="1"/>
  <c r="AD54" i="3" s="1"/>
  <c r="Y54" i="3"/>
  <c r="Z54" i="3" s="1"/>
  <c r="S54" i="3"/>
  <c r="M54" i="3"/>
  <c r="G54" i="3"/>
  <c r="E54" i="3"/>
  <c r="AF53" i="3"/>
  <c r="AB53" i="3"/>
  <c r="Y53" i="3"/>
  <c r="Z53" i="3" s="1"/>
  <c r="AH53" i="3" s="1"/>
  <c r="S53" i="3"/>
  <c r="M53" i="3"/>
  <c r="E53" i="3"/>
  <c r="AF52" i="3"/>
  <c r="AB52" i="3"/>
  <c r="AC52" i="3" s="1"/>
  <c r="AD52" i="3" s="1"/>
  <c r="Y52" i="3"/>
  <c r="Z52" i="3" s="1"/>
  <c r="AH52" i="3" s="1"/>
  <c r="S52" i="3"/>
  <c r="M52" i="3"/>
  <c r="E52" i="3"/>
  <c r="AF51" i="3"/>
  <c r="AB51" i="3"/>
  <c r="Y51" i="3"/>
  <c r="Z51" i="3" s="1"/>
  <c r="S51" i="3"/>
  <c r="M51" i="3"/>
  <c r="E51" i="3"/>
  <c r="AF50" i="3"/>
  <c r="AB50" i="3"/>
  <c r="Y50" i="3"/>
  <c r="Z50" i="3" s="1"/>
  <c r="S50" i="3"/>
  <c r="M50" i="3"/>
  <c r="E50" i="3"/>
  <c r="AF49" i="3"/>
  <c r="AB49" i="3"/>
  <c r="AC49" i="3" s="1"/>
  <c r="Y49" i="3"/>
  <c r="Z49" i="3" s="1"/>
  <c r="S49" i="3"/>
  <c r="M49" i="3"/>
  <c r="E49" i="3"/>
  <c r="AF48" i="3"/>
  <c r="AB48" i="3"/>
  <c r="AC48" i="3" s="1"/>
  <c r="AD48" i="3" s="1"/>
  <c r="Y48" i="3"/>
  <c r="Z48" i="3" s="1"/>
  <c r="S48" i="3"/>
  <c r="M48" i="3"/>
  <c r="G48" i="3"/>
  <c r="E48" i="3"/>
  <c r="AF47" i="3"/>
  <c r="AB47" i="3"/>
  <c r="Y47" i="3"/>
  <c r="Z47" i="3" s="1"/>
  <c r="S47" i="3"/>
  <c r="M47" i="3"/>
  <c r="G47" i="3"/>
  <c r="E47" i="3"/>
  <c r="AF46" i="3"/>
  <c r="AB46" i="3"/>
  <c r="AC46" i="3" s="1"/>
  <c r="Y46" i="3"/>
  <c r="Z46" i="3" s="1"/>
  <c r="S46" i="3"/>
  <c r="M46" i="3"/>
  <c r="G46" i="3"/>
  <c r="E46" i="3"/>
  <c r="AF45" i="3"/>
  <c r="AB45" i="3"/>
  <c r="Y45" i="3"/>
  <c r="Z45" i="3" s="1"/>
  <c r="S45" i="3"/>
  <c r="M45" i="3"/>
  <c r="G45" i="3"/>
  <c r="E45" i="3"/>
  <c r="AF44" i="3"/>
  <c r="AB44" i="3"/>
  <c r="AC44" i="3" s="1"/>
  <c r="AD44" i="3" s="1"/>
  <c r="Y44" i="3"/>
  <c r="Z44" i="3" s="1"/>
  <c r="S44" i="3"/>
  <c r="M44" i="3"/>
  <c r="G44" i="3"/>
  <c r="E44" i="3"/>
  <c r="AF43" i="3"/>
  <c r="AB43" i="3"/>
  <c r="AC43" i="3" s="1"/>
  <c r="Y43" i="3"/>
  <c r="Z43" i="3" s="1"/>
  <c r="S43" i="3"/>
  <c r="M43" i="3"/>
  <c r="G43" i="3"/>
  <c r="E43" i="3"/>
  <c r="AF42" i="3"/>
  <c r="AB42" i="3"/>
  <c r="Y42" i="3"/>
  <c r="Z42" i="3" s="1"/>
  <c r="S42" i="3"/>
  <c r="M42" i="3"/>
  <c r="G42" i="3"/>
  <c r="E42" i="3"/>
  <c r="AF41" i="3"/>
  <c r="AB41" i="3"/>
  <c r="Y41" i="3"/>
  <c r="Z41" i="3" s="1"/>
  <c r="S41" i="3"/>
  <c r="M41" i="3"/>
  <c r="G41" i="3"/>
  <c r="E41" i="3"/>
  <c r="AF40" i="3"/>
  <c r="AB40" i="3"/>
  <c r="AC40" i="3" s="1"/>
  <c r="Y40" i="3"/>
  <c r="Z40" i="3" s="1"/>
  <c r="S40" i="3"/>
  <c r="M40" i="3"/>
  <c r="G40" i="3"/>
  <c r="E40" i="3"/>
  <c r="AF39" i="3"/>
  <c r="AB39" i="3"/>
  <c r="Y39" i="3"/>
  <c r="Z39" i="3" s="1"/>
  <c r="S39" i="3"/>
  <c r="M39" i="3"/>
  <c r="G39" i="3"/>
  <c r="E39" i="3"/>
  <c r="AF38" i="3"/>
  <c r="AB38" i="3"/>
  <c r="Y38" i="3"/>
  <c r="Z38" i="3" s="1"/>
  <c r="AH38" i="3" s="1"/>
  <c r="S38" i="3"/>
  <c r="M38" i="3"/>
  <c r="G38" i="3"/>
  <c r="E38" i="3"/>
  <c r="AF37" i="3"/>
  <c r="AB37" i="3"/>
  <c r="AC37" i="3" s="1"/>
  <c r="AD37" i="3" s="1"/>
  <c r="Y37" i="3"/>
  <c r="Z37" i="3" s="1"/>
  <c r="S37" i="3"/>
  <c r="M37" i="3"/>
  <c r="G37" i="3"/>
  <c r="E37" i="3"/>
  <c r="AF36" i="3"/>
  <c r="AB36" i="3"/>
  <c r="AC36" i="3" s="1"/>
  <c r="AD36" i="3" s="1"/>
  <c r="Y36" i="3"/>
  <c r="Z36" i="3" s="1"/>
  <c r="AH36" i="3" s="1"/>
  <c r="S36" i="3"/>
  <c r="M36" i="3"/>
  <c r="G36" i="3"/>
  <c r="E36" i="3"/>
  <c r="AF35" i="3"/>
  <c r="AB35" i="3"/>
  <c r="AC35" i="3" s="1"/>
  <c r="Y35" i="3"/>
  <c r="Z35" i="3" s="1"/>
  <c r="AH35" i="3" s="1"/>
  <c r="S35" i="3"/>
  <c r="M35" i="3"/>
  <c r="G35" i="3"/>
  <c r="E35" i="3"/>
  <c r="AF34" i="3"/>
  <c r="AB34" i="3"/>
  <c r="Y34" i="3"/>
  <c r="Z34" i="3" s="1"/>
  <c r="S34" i="3"/>
  <c r="M34" i="3"/>
  <c r="G34" i="3"/>
  <c r="E34" i="3"/>
  <c r="AF33" i="3"/>
  <c r="AB33" i="3"/>
  <c r="AC33" i="3" s="1"/>
  <c r="Y33" i="3"/>
  <c r="Z33" i="3" s="1"/>
  <c r="S33" i="3"/>
  <c r="M33" i="3"/>
  <c r="G33" i="3"/>
  <c r="E33" i="3"/>
  <c r="AB32" i="3"/>
  <c r="M32" i="3"/>
  <c r="E32" i="3"/>
  <c r="AB31" i="3"/>
  <c r="AF31" i="3"/>
  <c r="M31" i="3"/>
  <c r="E31" i="3"/>
  <c r="AB30" i="3"/>
  <c r="AF30" i="3"/>
  <c r="M30" i="3"/>
  <c r="E30" i="3"/>
  <c r="AB29" i="3"/>
  <c r="M29" i="3"/>
  <c r="E29" i="3"/>
  <c r="AB28" i="3"/>
  <c r="AF28" i="3"/>
  <c r="M28" i="3"/>
  <c r="E28" i="3"/>
  <c r="AF27" i="3"/>
  <c r="AB27" i="3"/>
  <c r="AC27" i="3" s="1"/>
  <c r="AD27" i="3" s="1"/>
  <c r="Y27" i="3"/>
  <c r="Z27" i="3" s="1"/>
  <c r="S27" i="3"/>
  <c r="M27" i="3"/>
  <c r="G27" i="3"/>
  <c r="E27" i="3"/>
  <c r="AF25" i="3"/>
  <c r="AB25" i="3"/>
  <c r="Y25" i="3"/>
  <c r="Z25" i="3" s="1"/>
  <c r="S25" i="3"/>
  <c r="M25" i="3"/>
  <c r="G25" i="3"/>
  <c r="E25" i="3"/>
  <c r="AF24" i="3"/>
  <c r="AB24" i="3"/>
  <c r="AC24" i="3" s="1"/>
  <c r="AD24" i="3" s="1"/>
  <c r="Y24" i="3"/>
  <c r="Z24" i="3" s="1"/>
  <c r="S24" i="3"/>
  <c r="M24" i="3"/>
  <c r="G24" i="3"/>
  <c r="E24" i="3"/>
  <c r="AF23" i="3"/>
  <c r="AB23" i="3"/>
  <c r="AC23" i="3" s="1"/>
  <c r="AD23" i="3" s="1"/>
  <c r="Y23" i="3"/>
  <c r="Z23" i="3" s="1"/>
  <c r="S23" i="3"/>
  <c r="M23" i="3"/>
  <c r="G23" i="3"/>
  <c r="E23" i="3"/>
  <c r="AF22" i="3"/>
  <c r="AB22" i="3"/>
  <c r="Y22" i="3"/>
  <c r="Z22" i="3" s="1"/>
  <c r="S22" i="3"/>
  <c r="M22" i="3"/>
  <c r="G22" i="3"/>
  <c r="E22" i="3"/>
  <c r="AF21" i="3"/>
  <c r="AB21" i="3"/>
  <c r="Y21" i="3"/>
  <c r="Z21" i="3" s="1"/>
  <c r="S21" i="3"/>
  <c r="M21" i="3"/>
  <c r="G21" i="3"/>
  <c r="E21" i="3"/>
  <c r="AF20" i="3"/>
  <c r="AB20" i="3"/>
  <c r="Y20" i="3"/>
  <c r="Z20" i="3" s="1"/>
  <c r="S20" i="3"/>
  <c r="M20" i="3"/>
  <c r="G20" i="3"/>
  <c r="E20" i="3"/>
  <c r="AF19" i="3"/>
  <c r="AB19" i="3"/>
  <c r="Y19" i="3"/>
  <c r="Z19" i="3" s="1"/>
  <c r="S19" i="3"/>
  <c r="M19" i="3"/>
  <c r="G19" i="3"/>
  <c r="E19" i="3"/>
  <c r="AF15" i="3"/>
  <c r="AB15" i="3"/>
  <c r="AC15" i="3" s="1"/>
  <c r="AD15" i="3" s="1"/>
  <c r="Y15" i="3"/>
  <c r="Z15" i="3" s="1"/>
  <c r="S15" i="3"/>
  <c r="M15" i="3"/>
  <c r="G15" i="3"/>
  <c r="E15" i="3"/>
  <c r="AF14" i="3"/>
  <c r="AB14" i="3"/>
  <c r="AC14" i="3" s="1"/>
  <c r="AD14" i="3" s="1"/>
  <c r="Y14" i="3"/>
  <c r="Z14" i="3" s="1"/>
  <c r="S14" i="3"/>
  <c r="M14" i="3"/>
  <c r="G14" i="3"/>
  <c r="E14" i="3"/>
  <c r="AF13" i="3"/>
  <c r="AB13" i="3"/>
  <c r="AC13" i="3" s="1"/>
  <c r="AD13" i="3" s="1"/>
  <c r="Y13" i="3"/>
  <c r="Z13" i="3" s="1"/>
  <c r="S13" i="3"/>
  <c r="M13" i="3"/>
  <c r="G13" i="3"/>
  <c r="E13" i="3"/>
  <c r="AF12" i="3"/>
  <c r="AB12" i="3"/>
  <c r="AC12" i="3" s="1"/>
  <c r="AD12" i="3" s="1"/>
  <c r="Y12" i="3"/>
  <c r="Z12" i="3" s="1"/>
  <c r="S12" i="3"/>
  <c r="M12" i="3"/>
  <c r="G12" i="3"/>
  <c r="E12" i="3"/>
  <c r="AF11" i="3"/>
  <c r="AB11" i="3"/>
  <c r="AC11" i="3" s="1"/>
  <c r="AD11" i="3" s="1"/>
  <c r="Y11" i="3"/>
  <c r="Z11" i="3" s="1"/>
  <c r="S11" i="3"/>
  <c r="M11" i="3"/>
  <c r="G11" i="3"/>
  <c r="E11" i="3"/>
  <c r="AF10" i="3"/>
  <c r="AB10" i="3"/>
  <c r="Y10" i="3"/>
  <c r="Z10" i="3" s="1"/>
  <c r="S10" i="3"/>
  <c r="M10" i="3"/>
  <c r="G10" i="3"/>
  <c r="E10" i="3"/>
  <c r="AF9" i="3"/>
  <c r="AB9" i="3"/>
  <c r="Y9" i="3"/>
  <c r="Z9" i="3" s="1"/>
  <c r="S9" i="3"/>
  <c r="M9" i="3"/>
  <c r="G9" i="3"/>
  <c r="E9" i="3"/>
  <c r="AF8" i="3"/>
  <c r="AB8" i="3"/>
  <c r="AC8" i="3" s="1"/>
  <c r="AD8" i="3" s="1"/>
  <c r="Y8" i="3"/>
  <c r="Z8" i="3" s="1"/>
  <c r="S8" i="3"/>
  <c r="M8" i="3"/>
  <c r="G8" i="3"/>
  <c r="E8" i="3"/>
  <c r="AF7" i="3"/>
  <c r="AB7" i="3"/>
  <c r="AC7" i="3" s="1"/>
  <c r="Y7" i="3"/>
  <c r="Z7" i="3" s="1"/>
  <c r="S7" i="3"/>
  <c r="M7" i="3"/>
  <c r="G7" i="3"/>
  <c r="E7" i="3"/>
  <c r="AF6" i="3"/>
  <c r="AB6" i="3"/>
  <c r="AC6" i="3" s="1"/>
  <c r="AD6" i="3" s="1"/>
  <c r="Y6" i="3"/>
  <c r="Z6" i="3" s="1"/>
  <c r="AH6" i="3" s="1"/>
  <c r="S6" i="3"/>
  <c r="M6" i="3"/>
  <c r="G6" i="3"/>
  <c r="E6" i="3"/>
  <c r="AF5" i="3"/>
  <c r="AB5" i="3"/>
  <c r="AC5" i="3" s="1"/>
  <c r="AD5" i="3" s="1"/>
  <c r="Y5" i="3"/>
  <c r="Z5" i="3" s="1"/>
  <c r="S5" i="3"/>
  <c r="M5" i="3"/>
  <c r="G5" i="3"/>
  <c r="E5" i="3"/>
  <c r="AF4" i="3"/>
  <c r="AB4" i="3"/>
  <c r="Y4" i="3"/>
  <c r="Z4" i="3" s="1"/>
  <c r="S4" i="3"/>
  <c r="M4" i="3"/>
  <c r="G4" i="3"/>
  <c r="E4" i="3"/>
  <c r="AF3" i="3"/>
  <c r="AB3" i="3"/>
  <c r="Y3" i="3"/>
  <c r="Z3" i="3" s="1"/>
  <c r="S3" i="3"/>
  <c r="M3" i="3"/>
  <c r="G3" i="3"/>
  <c r="E3" i="3"/>
  <c r="AF2" i="3"/>
  <c r="AB2" i="3"/>
  <c r="AC2" i="3" s="1"/>
  <c r="Y2" i="3"/>
  <c r="Z2" i="3" s="1"/>
  <c r="S2" i="3"/>
  <c r="M2" i="3"/>
  <c r="G2" i="3"/>
  <c r="E2" i="3"/>
  <c r="E92" i="1"/>
  <c r="G92" i="1"/>
  <c r="M92" i="1"/>
  <c r="S92" i="1"/>
  <c r="Y92" i="1"/>
  <c r="Z92" i="1" s="1"/>
  <c r="AB92" i="1"/>
  <c r="AC92" i="1" s="1"/>
  <c r="AD92" i="1" s="1"/>
  <c r="AF92" i="1"/>
  <c r="E91" i="1"/>
  <c r="G91" i="1"/>
  <c r="M91" i="1"/>
  <c r="S91" i="1"/>
  <c r="Y91" i="1"/>
  <c r="Z91" i="1" s="1"/>
  <c r="AB91" i="1"/>
  <c r="AC91" i="1" s="1"/>
  <c r="AF91" i="1"/>
  <c r="E90" i="1"/>
  <c r="G90" i="1"/>
  <c r="M90" i="1"/>
  <c r="S90" i="1"/>
  <c r="Y90" i="1"/>
  <c r="Z90" i="1" s="1"/>
  <c r="AB90" i="1"/>
  <c r="AC90" i="1" s="1"/>
  <c r="AD90" i="1" s="1"/>
  <c r="AF90" i="1"/>
  <c r="E89" i="1"/>
  <c r="G89" i="1"/>
  <c r="M89" i="1"/>
  <c r="S89" i="1"/>
  <c r="Y89" i="1"/>
  <c r="Z89" i="1" s="1"/>
  <c r="AB89" i="1"/>
  <c r="AC89" i="1" s="1"/>
  <c r="AF89" i="1"/>
  <c r="E88" i="1"/>
  <c r="G88" i="1"/>
  <c r="M88" i="1"/>
  <c r="S88" i="1"/>
  <c r="Y88" i="1"/>
  <c r="Z88" i="1" s="1"/>
  <c r="AB88" i="1"/>
  <c r="AC88" i="1" s="1"/>
  <c r="AF88" i="1"/>
  <c r="E87" i="1"/>
  <c r="G87" i="1"/>
  <c r="M87" i="1"/>
  <c r="S87" i="1"/>
  <c r="Y87" i="1"/>
  <c r="Z87" i="1" s="1"/>
  <c r="AB87" i="1"/>
  <c r="AC87" i="1" s="1"/>
  <c r="AD87" i="1" s="1"/>
  <c r="AF87" i="1"/>
  <c r="G84" i="1"/>
  <c r="G83" i="1"/>
  <c r="E85" i="1"/>
  <c r="G85" i="1"/>
  <c r="M85" i="1"/>
  <c r="S85" i="1"/>
  <c r="Y85" i="1"/>
  <c r="Z85" i="1" s="1"/>
  <c r="AB85" i="1"/>
  <c r="AC85" i="1" s="1"/>
  <c r="AD85" i="1" s="1"/>
  <c r="AF85" i="1"/>
  <c r="E84" i="1"/>
  <c r="M84" i="1"/>
  <c r="S84" i="1"/>
  <c r="Y84" i="1"/>
  <c r="Z84" i="1" s="1"/>
  <c r="AB84" i="1"/>
  <c r="AC84" i="1" s="1"/>
  <c r="AF84" i="1"/>
  <c r="E83" i="1"/>
  <c r="M83" i="1"/>
  <c r="S83" i="1"/>
  <c r="Y83" i="1"/>
  <c r="Z83" i="1" s="1"/>
  <c r="AB83" i="1"/>
  <c r="AC83" i="1" s="1"/>
  <c r="AD83" i="1" s="1"/>
  <c r="AF83" i="1"/>
  <c r="E65" i="1"/>
  <c r="G65" i="1"/>
  <c r="M65" i="1"/>
  <c r="S65" i="1"/>
  <c r="Y65" i="1"/>
  <c r="Z65" i="1" s="1"/>
  <c r="AB65" i="1"/>
  <c r="AC65" i="1" s="1"/>
  <c r="AF65" i="1"/>
  <c r="E82" i="1"/>
  <c r="G82" i="1"/>
  <c r="M82" i="1"/>
  <c r="S82" i="1"/>
  <c r="Y82" i="1"/>
  <c r="Z82" i="1" s="1"/>
  <c r="AB82" i="1"/>
  <c r="AC82" i="1" s="1"/>
  <c r="AD82" i="1" s="1"/>
  <c r="AF82" i="1"/>
  <c r="E78" i="1"/>
  <c r="G78" i="1"/>
  <c r="M78" i="1"/>
  <c r="S78" i="1"/>
  <c r="Y78" i="1"/>
  <c r="Z78" i="1" s="1"/>
  <c r="AB78" i="1"/>
  <c r="AC78" i="1" s="1"/>
  <c r="AD78" i="1" s="1"/>
  <c r="AF78" i="1"/>
  <c r="E77" i="1"/>
  <c r="G77" i="1"/>
  <c r="M77" i="1"/>
  <c r="S77" i="1"/>
  <c r="Y77" i="1"/>
  <c r="Z77" i="1" s="1"/>
  <c r="AB77" i="1"/>
  <c r="AC77" i="1" s="1"/>
  <c r="AF77" i="1"/>
  <c r="E76" i="1"/>
  <c r="G76" i="1"/>
  <c r="M76" i="1"/>
  <c r="S76" i="1"/>
  <c r="Y76" i="1"/>
  <c r="Z76" i="1" s="1"/>
  <c r="AB76" i="1"/>
  <c r="AC76" i="1" s="1"/>
  <c r="AD76" i="1" s="1"/>
  <c r="AF76" i="1"/>
  <c r="E75" i="1"/>
  <c r="G75" i="1"/>
  <c r="M75" i="1"/>
  <c r="S75" i="1"/>
  <c r="Y75" i="1"/>
  <c r="Z75" i="1" s="1"/>
  <c r="AB75" i="1"/>
  <c r="AC75" i="1" s="1"/>
  <c r="AD75" i="1" s="1"/>
  <c r="AF75" i="1"/>
  <c r="E74" i="1"/>
  <c r="G74" i="1"/>
  <c r="M74" i="1"/>
  <c r="S74" i="1"/>
  <c r="Y74" i="1"/>
  <c r="Z74" i="1" s="1"/>
  <c r="AB74" i="1"/>
  <c r="AC74" i="1" s="1"/>
  <c r="AF74" i="1"/>
  <c r="E72" i="1"/>
  <c r="G72" i="1"/>
  <c r="M72" i="1"/>
  <c r="S72" i="1"/>
  <c r="Y72" i="1"/>
  <c r="Z72" i="1" s="1"/>
  <c r="AB72" i="1"/>
  <c r="AC72" i="1" s="1"/>
  <c r="AD72" i="1" s="1"/>
  <c r="AF72" i="1"/>
  <c r="E71" i="1"/>
  <c r="G71" i="1"/>
  <c r="M71" i="1"/>
  <c r="S71" i="1"/>
  <c r="Y71" i="1"/>
  <c r="Z71" i="1" s="1"/>
  <c r="AB71" i="1"/>
  <c r="AC71" i="1" s="1"/>
  <c r="AF71" i="1"/>
  <c r="E70" i="1"/>
  <c r="G70" i="1"/>
  <c r="M70" i="1"/>
  <c r="S70" i="1"/>
  <c r="Y70" i="1"/>
  <c r="Z70" i="1" s="1"/>
  <c r="AB70" i="1"/>
  <c r="AC70" i="1" s="1"/>
  <c r="AD70" i="1" s="1"/>
  <c r="AF70" i="1"/>
  <c r="E69" i="1"/>
  <c r="G69" i="1"/>
  <c r="M69" i="1"/>
  <c r="S69" i="1"/>
  <c r="Y69" i="1"/>
  <c r="Z69" i="1" s="1"/>
  <c r="AB69" i="1"/>
  <c r="AC69" i="1" s="1"/>
  <c r="AD69" i="1" s="1"/>
  <c r="AF69" i="1"/>
  <c r="E68" i="1"/>
  <c r="G68" i="1"/>
  <c r="M68" i="1"/>
  <c r="S68" i="1"/>
  <c r="Y68" i="1"/>
  <c r="Z68" i="1" s="1"/>
  <c r="AB68" i="1"/>
  <c r="AC68" i="1" s="1"/>
  <c r="AD68" i="1" s="1"/>
  <c r="AF68" i="1"/>
  <c r="E66" i="1"/>
  <c r="G66" i="1"/>
  <c r="M66" i="1"/>
  <c r="S66" i="1"/>
  <c r="Y66" i="1"/>
  <c r="Z66" i="1" s="1"/>
  <c r="AB66" i="1"/>
  <c r="AC66" i="1" s="1"/>
  <c r="AF66" i="1"/>
  <c r="E67" i="1"/>
  <c r="G67" i="1"/>
  <c r="M67" i="1"/>
  <c r="S67" i="1"/>
  <c r="Y67" i="1"/>
  <c r="Z67" i="1" s="1"/>
  <c r="AB67" i="1"/>
  <c r="AC67" i="1" s="1"/>
  <c r="AF67" i="1"/>
  <c r="E64" i="1"/>
  <c r="G64" i="1"/>
  <c r="M64" i="1"/>
  <c r="S64" i="1"/>
  <c r="Y64" i="1"/>
  <c r="Z64" i="1" s="1"/>
  <c r="AB64" i="1"/>
  <c r="AC64" i="1" s="1"/>
  <c r="AD64" i="1" s="1"/>
  <c r="AF64" i="1"/>
  <c r="E63" i="1"/>
  <c r="G63" i="1"/>
  <c r="M63" i="1"/>
  <c r="S63" i="1"/>
  <c r="Y63" i="1"/>
  <c r="Z63" i="1" s="1"/>
  <c r="AB63" i="1"/>
  <c r="AC63" i="1" s="1"/>
  <c r="AF63" i="1"/>
  <c r="E61" i="1"/>
  <c r="G61" i="1"/>
  <c r="M61" i="1"/>
  <c r="S61" i="1"/>
  <c r="Y61" i="1"/>
  <c r="Z61" i="1" s="1"/>
  <c r="AH61" i="1" s="1"/>
  <c r="AB61" i="1"/>
  <c r="AC61" i="1" s="1"/>
  <c r="AF61" i="1"/>
  <c r="E60" i="1"/>
  <c r="G60" i="1"/>
  <c r="M60" i="1"/>
  <c r="S60" i="1"/>
  <c r="Y60" i="1"/>
  <c r="Z60" i="1" s="1"/>
  <c r="AH60" i="1" s="1"/>
  <c r="AB60" i="1"/>
  <c r="AC60" i="1" s="1"/>
  <c r="AD60" i="1" s="1"/>
  <c r="AF60" i="1"/>
  <c r="E59" i="1"/>
  <c r="G59" i="1"/>
  <c r="M59" i="1"/>
  <c r="S59" i="1"/>
  <c r="Y59" i="1"/>
  <c r="Z59" i="1" s="1"/>
  <c r="AH59" i="1" s="1"/>
  <c r="AB59" i="1"/>
  <c r="AC59" i="1" s="1"/>
  <c r="AD59" i="1" s="1"/>
  <c r="AF5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G58" i="1"/>
  <c r="M58" i="1"/>
  <c r="S58" i="1"/>
  <c r="Y58" i="1"/>
  <c r="Z58" i="1" s="1"/>
  <c r="AH58" i="1" s="1"/>
  <c r="AB58" i="1"/>
  <c r="AC58" i="1" s="1"/>
  <c r="AF58" i="1"/>
  <c r="N33" i="1"/>
  <c r="N32" i="1"/>
  <c r="N31" i="1"/>
  <c r="N30" i="1"/>
  <c r="N29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Z16" i="1" s="1"/>
  <c r="AH16" i="1" s="1"/>
  <c r="Y22" i="1"/>
  <c r="Z22" i="1" s="1"/>
  <c r="AH22" i="1" s="1"/>
  <c r="Y23" i="1"/>
  <c r="Z23" i="1" s="1"/>
  <c r="AH23" i="1" s="1"/>
  <c r="Y24" i="1"/>
  <c r="Z24" i="1" s="1"/>
  <c r="AH24" i="1" s="1"/>
  <c r="Y25" i="1"/>
  <c r="Z25" i="1" s="1"/>
  <c r="AH25" i="1" s="1"/>
  <c r="Y26" i="1"/>
  <c r="Z26" i="1" s="1"/>
  <c r="AH26" i="1" s="1"/>
  <c r="Y27" i="1"/>
  <c r="Z27" i="1" s="1"/>
  <c r="AH27" i="1" s="1"/>
  <c r="Y28" i="1"/>
  <c r="Z28" i="1" s="1"/>
  <c r="AH28" i="1" s="1"/>
  <c r="Y34" i="1"/>
  <c r="Z34" i="1" s="1"/>
  <c r="AH34" i="1" s="1"/>
  <c r="Y35" i="1"/>
  <c r="Z35" i="1" s="1"/>
  <c r="AH35" i="1" s="1"/>
  <c r="Y36" i="1"/>
  <c r="Z36" i="1" s="1"/>
  <c r="AH36" i="1" s="1"/>
  <c r="Y37" i="1"/>
  <c r="Z37" i="1" s="1"/>
  <c r="AH37" i="1" s="1"/>
  <c r="Y38" i="1"/>
  <c r="Z38" i="1" s="1"/>
  <c r="AH38" i="1" s="1"/>
  <c r="Y39" i="1"/>
  <c r="Z39" i="1" s="1"/>
  <c r="AH39" i="1" s="1"/>
  <c r="Y40" i="1"/>
  <c r="Z40" i="1" s="1"/>
  <c r="AH40" i="1" s="1"/>
  <c r="Y41" i="1"/>
  <c r="Z41" i="1" s="1"/>
  <c r="AH41" i="1" s="1"/>
  <c r="Y43" i="1"/>
  <c r="Z43" i="1" s="1"/>
  <c r="AH43" i="1" s="1"/>
  <c r="Y44" i="1"/>
  <c r="Z44" i="1" s="1"/>
  <c r="AH44" i="1" s="1"/>
  <c r="Y45" i="1"/>
  <c r="Z45" i="1" s="1"/>
  <c r="AH45" i="1" s="1"/>
  <c r="Y46" i="1"/>
  <c r="Z46" i="1" s="1"/>
  <c r="AH46" i="1" s="1"/>
  <c r="Y47" i="1"/>
  <c r="Z47" i="1" s="1"/>
  <c r="AH47" i="1" s="1"/>
  <c r="Y48" i="1"/>
  <c r="Z48" i="1" s="1"/>
  <c r="AH48" i="1" s="1"/>
  <c r="Y49" i="1"/>
  <c r="Z49" i="1" s="1"/>
  <c r="AH49" i="1" s="1"/>
  <c r="Y50" i="1"/>
  <c r="Z50" i="1" s="1"/>
  <c r="AH50" i="1" s="1"/>
  <c r="Y51" i="1"/>
  <c r="Z51" i="1" s="1"/>
  <c r="AH51" i="1" s="1"/>
  <c r="Y52" i="1"/>
  <c r="Z52" i="1" s="1"/>
  <c r="AH52" i="1" s="1"/>
  <c r="Y53" i="1"/>
  <c r="Z53" i="1" s="1"/>
  <c r="AH53" i="1" s="1"/>
  <c r="Y54" i="1"/>
  <c r="Z54" i="1" s="1"/>
  <c r="AH54" i="1" s="1"/>
  <c r="Y55" i="1"/>
  <c r="Z55" i="1" s="1"/>
  <c r="AH55" i="1" s="1"/>
  <c r="Y56" i="1"/>
  <c r="Z56" i="1" s="1"/>
  <c r="Y57" i="1"/>
  <c r="Z57" i="1" s="1"/>
  <c r="AH57" i="1" s="1"/>
  <c r="G52" i="1"/>
  <c r="G53" i="1"/>
  <c r="G54" i="1"/>
  <c r="G55" i="1"/>
  <c r="G56" i="1"/>
  <c r="G57" i="1"/>
  <c r="M52" i="1"/>
  <c r="M53" i="1"/>
  <c r="M54" i="1"/>
  <c r="M55" i="1"/>
  <c r="M56" i="1"/>
  <c r="M57" i="1"/>
  <c r="S52" i="1"/>
  <c r="S53" i="1"/>
  <c r="S54" i="1"/>
  <c r="S55" i="1"/>
  <c r="S56" i="1"/>
  <c r="S57" i="1"/>
  <c r="AB52" i="1"/>
  <c r="AC52" i="1" s="1"/>
  <c r="AB53" i="1"/>
  <c r="AC53" i="1" s="1"/>
  <c r="AB54" i="1"/>
  <c r="AC54" i="1" s="1"/>
  <c r="AB55" i="1"/>
  <c r="AC55" i="1" s="1"/>
  <c r="AB56" i="1"/>
  <c r="AC56" i="1" s="1"/>
  <c r="AB57" i="1"/>
  <c r="AC57" i="1" s="1"/>
  <c r="AF52" i="1"/>
  <c r="AF53" i="1"/>
  <c r="AF54" i="1"/>
  <c r="AF55" i="1"/>
  <c r="AF56" i="1"/>
  <c r="AF57" i="1"/>
  <c r="G51" i="1"/>
  <c r="M51" i="1"/>
  <c r="S51" i="1"/>
  <c r="AB51" i="1"/>
  <c r="AC51" i="1" s="1"/>
  <c r="AF51" i="1"/>
  <c r="M33" i="1"/>
  <c r="M32" i="1"/>
  <c r="M31" i="1"/>
  <c r="M30" i="1"/>
  <c r="M29" i="1"/>
  <c r="H33" i="1"/>
  <c r="H32" i="1"/>
  <c r="H31" i="1"/>
  <c r="H30" i="1"/>
  <c r="H29" i="1"/>
  <c r="I33" i="1"/>
  <c r="I32" i="1"/>
  <c r="I31" i="1"/>
  <c r="I30" i="1"/>
  <c r="I29" i="1"/>
  <c r="W33" i="1"/>
  <c r="W32" i="1"/>
  <c r="W31" i="1"/>
  <c r="W30" i="1"/>
  <c r="W29" i="1"/>
  <c r="T33" i="1"/>
  <c r="T32" i="1"/>
  <c r="AF32" i="1" s="1"/>
  <c r="T31" i="1"/>
  <c r="T30" i="1"/>
  <c r="T29" i="1"/>
  <c r="R33" i="1"/>
  <c r="R32" i="1"/>
  <c r="R31" i="1"/>
  <c r="R30" i="1"/>
  <c r="R29" i="1"/>
  <c r="Q33" i="1"/>
  <c r="Q32" i="1"/>
  <c r="Q31" i="1"/>
  <c r="Q30" i="1"/>
  <c r="Q29" i="1"/>
  <c r="J33" i="1"/>
  <c r="J32" i="1"/>
  <c r="J31" i="1"/>
  <c r="J30" i="1"/>
  <c r="J29" i="1"/>
  <c r="AB29" i="1"/>
  <c r="AB30" i="1"/>
  <c r="AB31" i="1"/>
  <c r="AB32" i="1"/>
  <c r="AB33" i="1"/>
  <c r="G44" i="1"/>
  <c r="G45" i="1"/>
  <c r="G46" i="1"/>
  <c r="G47" i="1"/>
  <c r="G48" i="1"/>
  <c r="G49" i="1"/>
  <c r="G50" i="1"/>
  <c r="M44" i="1"/>
  <c r="M45" i="1"/>
  <c r="M46" i="1"/>
  <c r="M47" i="1"/>
  <c r="M48" i="1"/>
  <c r="M49" i="1"/>
  <c r="M50" i="1"/>
  <c r="S44" i="1"/>
  <c r="S45" i="1"/>
  <c r="S46" i="1"/>
  <c r="S47" i="1"/>
  <c r="S48" i="1"/>
  <c r="S49" i="1"/>
  <c r="S50" i="1"/>
  <c r="AB44" i="1"/>
  <c r="AC44" i="1" s="1"/>
  <c r="AB45" i="1"/>
  <c r="AB46" i="1"/>
  <c r="AC46" i="1" s="1"/>
  <c r="AB47" i="1"/>
  <c r="AC47" i="1" s="1"/>
  <c r="AB48" i="1"/>
  <c r="AC48" i="1" s="1"/>
  <c r="AB49" i="1"/>
  <c r="AC49" i="1" s="1"/>
  <c r="AB50" i="1"/>
  <c r="AC50" i="1" s="1"/>
  <c r="AF44" i="1"/>
  <c r="AF45" i="1"/>
  <c r="AF46" i="1"/>
  <c r="AF47" i="1"/>
  <c r="AF48" i="1"/>
  <c r="AF49" i="1"/>
  <c r="AF50" i="1"/>
  <c r="G43" i="1"/>
  <c r="M43" i="1"/>
  <c r="S43" i="1"/>
  <c r="AB43" i="1"/>
  <c r="AC43" i="1" s="1"/>
  <c r="AF43" i="1"/>
  <c r="G35" i="1"/>
  <c r="G36" i="1"/>
  <c r="G37" i="1"/>
  <c r="G38" i="1"/>
  <c r="G39" i="1"/>
  <c r="G40" i="1"/>
  <c r="G41" i="1"/>
  <c r="M35" i="1"/>
  <c r="M36" i="1"/>
  <c r="M37" i="1"/>
  <c r="M38" i="1"/>
  <c r="M39" i="1"/>
  <c r="M40" i="1"/>
  <c r="M41" i="1"/>
  <c r="S35" i="1"/>
  <c r="S36" i="1"/>
  <c r="S37" i="1"/>
  <c r="S38" i="1"/>
  <c r="S39" i="1"/>
  <c r="S40" i="1"/>
  <c r="S41" i="1"/>
  <c r="AB35" i="1"/>
  <c r="AC35" i="1" s="1"/>
  <c r="AB36" i="1"/>
  <c r="AC36" i="1" s="1"/>
  <c r="AB37" i="1"/>
  <c r="AC37" i="1" s="1"/>
  <c r="AB38" i="1"/>
  <c r="AC38" i="1" s="1"/>
  <c r="AB39" i="1"/>
  <c r="AB40" i="1"/>
  <c r="AC40" i="1" s="1"/>
  <c r="AB41" i="1"/>
  <c r="AC41" i="1" s="1"/>
  <c r="AF35" i="1"/>
  <c r="AF36" i="1"/>
  <c r="AF37" i="1"/>
  <c r="AF38" i="1"/>
  <c r="AF39" i="1"/>
  <c r="AF40" i="1"/>
  <c r="AF41" i="1"/>
  <c r="G34" i="1"/>
  <c r="M34" i="1"/>
  <c r="S34" i="1"/>
  <c r="AB34" i="1"/>
  <c r="AC34" i="1" s="1"/>
  <c r="AF34" i="1"/>
  <c r="G22" i="1"/>
  <c r="G23" i="1"/>
  <c r="G24" i="1"/>
  <c r="G25" i="1"/>
  <c r="G26" i="1"/>
  <c r="G27" i="1"/>
  <c r="G28" i="1"/>
  <c r="M22" i="1"/>
  <c r="M23" i="1"/>
  <c r="M24" i="1"/>
  <c r="M25" i="1"/>
  <c r="M26" i="1"/>
  <c r="M27" i="1"/>
  <c r="M28" i="1"/>
  <c r="S22" i="1"/>
  <c r="S23" i="1"/>
  <c r="S24" i="1"/>
  <c r="S25" i="1"/>
  <c r="S26" i="1"/>
  <c r="S27" i="1"/>
  <c r="S28" i="1"/>
  <c r="AB22" i="1"/>
  <c r="AC22" i="1" s="1"/>
  <c r="AB23" i="1"/>
  <c r="AC23" i="1" s="1"/>
  <c r="AB24" i="1"/>
  <c r="AB25" i="1"/>
  <c r="AC25" i="1" s="1"/>
  <c r="AB26" i="1"/>
  <c r="AB27" i="1"/>
  <c r="AC27" i="1" s="1"/>
  <c r="AB28" i="1"/>
  <c r="AC28" i="1" s="1"/>
  <c r="AF22" i="1"/>
  <c r="AF23" i="1"/>
  <c r="AF24" i="1"/>
  <c r="AF25" i="1"/>
  <c r="AF26" i="1"/>
  <c r="AF27" i="1"/>
  <c r="AF2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M1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AB16" i="1"/>
  <c r="AC16" i="1" s="1"/>
  <c r="AF16" i="1"/>
  <c r="AC81" i="1" l="1"/>
  <c r="AD81" i="1" s="1"/>
  <c r="AA81" i="1"/>
  <c r="AH81" i="1"/>
  <c r="AC80" i="1"/>
  <c r="AD80" i="1" s="1"/>
  <c r="AA80" i="1"/>
  <c r="AH80" i="1"/>
  <c r="AC79" i="1"/>
  <c r="AD79" i="1" s="1"/>
  <c r="AH79" i="1"/>
  <c r="AA79" i="1"/>
  <c r="AC42" i="1"/>
  <c r="AD42" i="1" s="1"/>
  <c r="AH42" i="1"/>
  <c r="AA42" i="1"/>
  <c r="AA21" i="1"/>
  <c r="AH21" i="1"/>
  <c r="AE21" i="1"/>
  <c r="AG21" i="1"/>
  <c r="AC17" i="3"/>
  <c r="AD17" i="3" s="1"/>
  <c r="AC16" i="3"/>
  <c r="AD16" i="3" s="1"/>
  <c r="AA18" i="3"/>
  <c r="AC18" i="3"/>
  <c r="AD18" i="3" s="1"/>
  <c r="AH17" i="3"/>
  <c r="AA17" i="3"/>
  <c r="AH16" i="3"/>
  <c r="AA16" i="3"/>
  <c r="AC19" i="1"/>
  <c r="AD19" i="1" s="1"/>
  <c r="AH20" i="1"/>
  <c r="AA20" i="1"/>
  <c r="AC20" i="1"/>
  <c r="AD20" i="1" s="1"/>
  <c r="AH19" i="1"/>
  <c r="AA19" i="1"/>
  <c r="AH18" i="1"/>
  <c r="AA18" i="1"/>
  <c r="AC18" i="1"/>
  <c r="AD18" i="1" s="1"/>
  <c r="AH17" i="1"/>
  <c r="AA17" i="1"/>
  <c r="AC17" i="1"/>
  <c r="AD17" i="1" s="1"/>
  <c r="AA76" i="3"/>
  <c r="AG76" i="3"/>
  <c r="AE76" i="3"/>
  <c r="AE77" i="3"/>
  <c r="AG77" i="3"/>
  <c r="AA77" i="3"/>
  <c r="AH77" i="3"/>
  <c r="AA67" i="3"/>
  <c r="AH67" i="3"/>
  <c r="AE67" i="3"/>
  <c r="AG67" i="3"/>
  <c r="AD68" i="3"/>
  <c r="AA70" i="3"/>
  <c r="AA68" i="3"/>
  <c r="AH68" i="3"/>
  <c r="AD70" i="3"/>
  <c r="AE70" i="3" s="1"/>
  <c r="AA69" i="3"/>
  <c r="AH69" i="3"/>
  <c r="AD69" i="3"/>
  <c r="AH70" i="3"/>
  <c r="AD62" i="3"/>
  <c r="AE62" i="3" s="1"/>
  <c r="AA62" i="3"/>
  <c r="AH62" i="3"/>
  <c r="AE61" i="3"/>
  <c r="AG61" i="3"/>
  <c r="AA61" i="3"/>
  <c r="AH61" i="3"/>
  <c r="AA59" i="3"/>
  <c r="AH59" i="3"/>
  <c r="AD59" i="3"/>
  <c r="AD60" i="3"/>
  <c r="AA60" i="3"/>
  <c r="AH60" i="3"/>
  <c r="AE73" i="1"/>
  <c r="AG73" i="1"/>
  <c r="AA73" i="1"/>
  <c r="AH73" i="1"/>
  <c r="S30" i="1"/>
  <c r="AD62" i="1"/>
  <c r="AE62" i="1" s="1"/>
  <c r="AA62" i="1"/>
  <c r="AH62" i="1"/>
  <c r="Y31" i="1"/>
  <c r="Z31" i="1" s="1"/>
  <c r="AH31" i="1" s="1"/>
  <c r="AA86" i="1"/>
  <c r="AH86" i="1"/>
  <c r="S31" i="1"/>
  <c r="Y32" i="1"/>
  <c r="Z32" i="1" s="1"/>
  <c r="AH32" i="1" s="1"/>
  <c r="AD86" i="1"/>
  <c r="S33" i="1"/>
  <c r="AA75" i="3"/>
  <c r="AE75" i="3"/>
  <c r="AH75" i="3"/>
  <c r="AG75" i="3"/>
  <c r="AD74" i="3"/>
  <c r="AE74" i="3" s="1"/>
  <c r="AA74" i="3"/>
  <c r="AH74" i="3"/>
  <c r="AD58" i="3"/>
  <c r="AA58" i="3"/>
  <c r="AH58" i="3"/>
  <c r="AE82" i="3"/>
  <c r="AA26" i="3"/>
  <c r="AH26" i="3"/>
  <c r="AD46" i="3"/>
  <c r="AG46" i="3" s="1"/>
  <c r="AD26" i="3"/>
  <c r="AA19" i="3"/>
  <c r="AA66" i="3"/>
  <c r="AH66" i="3"/>
  <c r="AG48" i="3"/>
  <c r="AA65" i="3"/>
  <c r="AA38" i="3"/>
  <c r="AD40" i="3"/>
  <c r="AG40" i="3" s="1"/>
  <c r="AG54" i="3"/>
  <c r="AC53" i="3"/>
  <c r="AD53" i="3" s="1"/>
  <c r="AA80" i="3"/>
  <c r="AA52" i="3"/>
  <c r="AC72" i="3"/>
  <c r="AD72" i="3" s="1"/>
  <c r="AG72" i="3" s="1"/>
  <c r="AC21" i="3"/>
  <c r="AD21" i="3" s="1"/>
  <c r="AE11" i="3"/>
  <c r="S32" i="3"/>
  <c r="AA9" i="3"/>
  <c r="AE12" i="3"/>
  <c r="G31" i="3"/>
  <c r="G29" i="3"/>
  <c r="AH44" i="3"/>
  <c r="AA44" i="3"/>
  <c r="AH51" i="3"/>
  <c r="AA51" i="3"/>
  <c r="AH82" i="3"/>
  <c r="AA82" i="3"/>
  <c r="AA45" i="3"/>
  <c r="AH45" i="3"/>
  <c r="AH64" i="3"/>
  <c r="AA64" i="3"/>
  <c r="AE73" i="3"/>
  <c r="AG73" i="3"/>
  <c r="AH43" i="3"/>
  <c r="AA43" i="3"/>
  <c r="AH57" i="3"/>
  <c r="AA57" i="3"/>
  <c r="AA72" i="3"/>
  <c r="AH72" i="3"/>
  <c r="AH37" i="3"/>
  <c r="AA37" i="3"/>
  <c r="AG78" i="3"/>
  <c r="AE78" i="3"/>
  <c r="AG37" i="3"/>
  <c r="AE37" i="3"/>
  <c r="AH83" i="3"/>
  <c r="AA83" i="3"/>
  <c r="AH81" i="3"/>
  <c r="AA81" i="3"/>
  <c r="AA73" i="3"/>
  <c r="AH73" i="3"/>
  <c r="AH20" i="3"/>
  <c r="AA20" i="3"/>
  <c r="AH46" i="3"/>
  <c r="AA46" i="3"/>
  <c r="AC31" i="3"/>
  <c r="AD31" i="3" s="1"/>
  <c r="S29" i="3"/>
  <c r="Y32" i="3"/>
  <c r="Z32" i="3" s="1"/>
  <c r="AD33" i="3"/>
  <c r="AE33" i="3" s="1"/>
  <c r="AA35" i="3"/>
  <c r="AC39" i="3"/>
  <c r="AD39" i="3" s="1"/>
  <c r="AD35" i="3"/>
  <c r="AE35" i="3" s="1"/>
  <c r="AC4" i="3"/>
  <c r="AD4" i="3" s="1"/>
  <c r="Y29" i="3"/>
  <c r="Z29" i="3" s="1"/>
  <c r="AH29" i="3" s="1"/>
  <c r="S28" i="3"/>
  <c r="AA71" i="3"/>
  <c r="Y31" i="3"/>
  <c r="Z31" i="3" s="1"/>
  <c r="AC38" i="3"/>
  <c r="AD38" i="3" s="1"/>
  <c r="AC47" i="3"/>
  <c r="AD47" i="3" s="1"/>
  <c r="AC41" i="3"/>
  <c r="AD41" i="3" s="1"/>
  <c r="AD43" i="3"/>
  <c r="AE43" i="3" s="1"/>
  <c r="AC30" i="3"/>
  <c r="AD30" i="3" s="1"/>
  <c r="AC22" i="3"/>
  <c r="AD22" i="3" s="1"/>
  <c r="AC55" i="3"/>
  <c r="AD55" i="3" s="1"/>
  <c r="AA24" i="3"/>
  <c r="AD49" i="3"/>
  <c r="AG49" i="3" s="1"/>
  <c r="AC32" i="3"/>
  <c r="AD32" i="3" s="1"/>
  <c r="AA36" i="3"/>
  <c r="AC45" i="3"/>
  <c r="AD45" i="3" s="1"/>
  <c r="AC51" i="3"/>
  <c r="AD51" i="3" s="1"/>
  <c r="AE54" i="3"/>
  <c r="AC66" i="3"/>
  <c r="AD66" i="3" s="1"/>
  <c r="AC83" i="3"/>
  <c r="AD83" i="3" s="1"/>
  <c r="AA53" i="3"/>
  <c r="AH24" i="3"/>
  <c r="AC28" i="3"/>
  <c r="AD28" i="3" s="1"/>
  <c r="AE48" i="3"/>
  <c r="S30" i="3"/>
  <c r="AA14" i="3"/>
  <c r="AH14" i="3"/>
  <c r="AH10" i="3"/>
  <c r="AA10" i="3"/>
  <c r="AH2" i="3"/>
  <c r="AA2" i="3"/>
  <c r="AA6" i="3"/>
  <c r="AC3" i="3"/>
  <c r="AD3" i="3" s="1"/>
  <c r="AG12" i="3"/>
  <c r="AD7" i="3"/>
  <c r="AE7" i="3" s="1"/>
  <c r="AA33" i="3"/>
  <c r="AH33" i="3"/>
  <c r="AA8" i="3"/>
  <c r="AH8" i="3"/>
  <c r="AG44" i="3"/>
  <c r="AE44" i="3"/>
  <c r="AG65" i="3"/>
  <c r="AE65" i="3"/>
  <c r="AG6" i="3"/>
  <c r="AE6" i="3"/>
  <c r="AG8" i="3"/>
  <c r="AE8" i="3"/>
  <c r="AA12" i="3"/>
  <c r="AH12" i="3"/>
  <c r="AG23" i="3"/>
  <c r="AE23" i="3"/>
  <c r="AA25" i="3"/>
  <c r="AH25" i="3"/>
  <c r="AH3" i="3"/>
  <c r="AA3" i="3"/>
  <c r="AH47" i="3"/>
  <c r="AA47" i="3"/>
  <c r="AH79" i="3"/>
  <c r="AA79" i="3"/>
  <c r="AA41" i="3"/>
  <c r="AH41" i="3"/>
  <c r="AG79" i="3"/>
  <c r="AE79" i="3"/>
  <c r="AH15" i="3"/>
  <c r="AA15" i="3"/>
  <c r="AG52" i="3"/>
  <c r="AE52" i="3"/>
  <c r="AG15" i="3"/>
  <c r="AE15" i="3"/>
  <c r="AA55" i="3"/>
  <c r="AH55" i="3"/>
  <c r="AG71" i="3"/>
  <c r="AE71" i="3"/>
  <c r="AG14" i="3"/>
  <c r="AE14" i="3"/>
  <c r="AE64" i="3"/>
  <c r="AG64" i="3"/>
  <c r="AH39" i="3"/>
  <c r="AA39" i="3"/>
  <c r="AA50" i="3"/>
  <c r="AH50" i="3"/>
  <c r="AA5" i="3"/>
  <c r="AH5" i="3"/>
  <c r="AH22" i="3"/>
  <c r="AA22" i="3"/>
  <c r="AG5" i="3"/>
  <c r="AE5" i="3"/>
  <c r="AH34" i="3"/>
  <c r="AA34" i="3"/>
  <c r="AA49" i="3"/>
  <c r="AH49" i="3"/>
  <c r="AH78" i="3"/>
  <c r="AA78" i="3"/>
  <c r="AA7" i="3"/>
  <c r="AH7" i="3"/>
  <c r="AA27" i="3"/>
  <c r="AH27" i="3"/>
  <c r="AE57" i="3"/>
  <c r="AG57" i="3"/>
  <c r="AH11" i="3"/>
  <c r="AA11" i="3"/>
  <c r="AG27" i="3"/>
  <c r="AE27" i="3"/>
  <c r="AH40" i="3"/>
  <c r="AA40" i="3"/>
  <c r="AG24" i="3"/>
  <c r="AE24" i="3"/>
  <c r="AH4" i="3"/>
  <c r="AA4" i="3"/>
  <c r="AA13" i="3"/>
  <c r="AH13" i="3"/>
  <c r="AA42" i="3"/>
  <c r="AH42" i="3"/>
  <c r="AH54" i="3"/>
  <c r="AA54" i="3"/>
  <c r="AA63" i="3"/>
  <c r="AH63" i="3"/>
  <c r="AH23" i="3"/>
  <c r="AA23" i="3"/>
  <c r="AH21" i="3"/>
  <c r="AA21" i="3"/>
  <c r="AG36" i="3"/>
  <c r="AE36" i="3"/>
  <c r="AG80" i="3"/>
  <c r="AE80" i="3"/>
  <c r="AG13" i="3"/>
  <c r="AE13" i="3"/>
  <c r="AH48" i="3"/>
  <c r="AA48" i="3"/>
  <c r="AH56" i="3"/>
  <c r="AA56" i="3"/>
  <c r="AC20" i="3"/>
  <c r="AD20" i="3" s="1"/>
  <c r="AC29" i="3"/>
  <c r="AD29" i="3" s="1"/>
  <c r="AF29" i="3"/>
  <c r="Y30" i="3"/>
  <c r="Z30" i="3" s="1"/>
  <c r="AG82" i="3"/>
  <c r="AC25" i="3"/>
  <c r="AD25" i="3" s="1"/>
  <c r="AD2" i="3"/>
  <c r="AC19" i="3"/>
  <c r="AD19" i="3" s="1"/>
  <c r="AH9" i="3"/>
  <c r="AH19" i="3"/>
  <c r="Y28" i="3"/>
  <c r="Z28" i="3" s="1"/>
  <c r="G32" i="3"/>
  <c r="AC10" i="3"/>
  <c r="AD10" i="3" s="1"/>
  <c r="AG11" i="3"/>
  <c r="AC9" i="3"/>
  <c r="AD9" i="3" s="1"/>
  <c r="G30" i="3"/>
  <c r="S31" i="3"/>
  <c r="AF32" i="3"/>
  <c r="AH80" i="3"/>
  <c r="G28" i="3"/>
  <c r="AC34" i="3"/>
  <c r="AD34" i="3" s="1"/>
  <c r="AC42" i="3"/>
  <c r="AD42" i="3" s="1"/>
  <c r="AC50" i="3"/>
  <c r="AD50" i="3" s="1"/>
  <c r="AC56" i="3"/>
  <c r="AD56" i="3" s="1"/>
  <c r="AC63" i="3"/>
  <c r="AD63" i="3" s="1"/>
  <c r="AC81" i="3"/>
  <c r="AD81" i="3" s="1"/>
  <c r="AE92" i="1"/>
  <c r="AG92" i="1"/>
  <c r="AA92" i="1"/>
  <c r="AH92" i="1"/>
  <c r="AD91" i="1"/>
  <c r="AE91" i="1" s="1"/>
  <c r="AA91" i="1"/>
  <c r="AH91" i="1"/>
  <c r="AA90" i="1"/>
  <c r="AH90" i="1"/>
  <c r="AE90" i="1"/>
  <c r="AG90" i="1"/>
  <c r="AA89" i="1"/>
  <c r="AH89" i="1"/>
  <c r="AD89" i="1"/>
  <c r="AA88" i="1"/>
  <c r="AH88" i="1"/>
  <c r="AD88" i="1"/>
  <c r="AA87" i="1"/>
  <c r="AH87" i="1"/>
  <c r="AE87" i="1"/>
  <c r="AG87" i="1"/>
  <c r="AD84" i="1"/>
  <c r="AE84" i="1" s="1"/>
  <c r="AG85" i="1"/>
  <c r="AE85" i="1"/>
  <c r="AH85" i="1"/>
  <c r="AA85" i="1"/>
  <c r="AA84" i="1"/>
  <c r="AH84" i="1"/>
  <c r="AA83" i="1"/>
  <c r="AH83" i="1"/>
  <c r="AE83" i="1"/>
  <c r="AG83" i="1"/>
  <c r="AD65" i="1"/>
  <c r="AG65" i="1" s="1"/>
  <c r="AA65" i="1"/>
  <c r="AH65" i="1"/>
  <c r="G32" i="1"/>
  <c r="G30" i="1"/>
  <c r="AF31" i="1"/>
  <c r="S32" i="1"/>
  <c r="AC30" i="1"/>
  <c r="AD30" i="1" s="1"/>
  <c r="Y30" i="1"/>
  <c r="Z30" i="1" s="1"/>
  <c r="AG82" i="1"/>
  <c r="AE82" i="1"/>
  <c r="AA82" i="1"/>
  <c r="AH82" i="1"/>
  <c r="AH78" i="1"/>
  <c r="AA78" i="1"/>
  <c r="AE78" i="1"/>
  <c r="AG78" i="1"/>
  <c r="AH77" i="1"/>
  <c r="AA77" i="1"/>
  <c r="AD77" i="1"/>
  <c r="AG76" i="1"/>
  <c r="AE76" i="1"/>
  <c r="AA76" i="1"/>
  <c r="AH76" i="1"/>
  <c r="AA75" i="1"/>
  <c r="AH75" i="1"/>
  <c r="AE75" i="1"/>
  <c r="AG75" i="1"/>
  <c r="AA74" i="1"/>
  <c r="AH74" i="1"/>
  <c r="AD74" i="1"/>
  <c r="AA70" i="1"/>
  <c r="AA71" i="1"/>
  <c r="AH71" i="1"/>
  <c r="AE72" i="1"/>
  <c r="AG72" i="1"/>
  <c r="AA72" i="1"/>
  <c r="AH72" i="1"/>
  <c r="AD71" i="1"/>
  <c r="AG71" i="1" s="1"/>
  <c r="AH70" i="1"/>
  <c r="AG70" i="1"/>
  <c r="AE70" i="1"/>
  <c r="AG69" i="1"/>
  <c r="AE69" i="1"/>
  <c r="AH69" i="1"/>
  <c r="AA69" i="1"/>
  <c r="AE68" i="1"/>
  <c r="AG68" i="1"/>
  <c r="AA68" i="1"/>
  <c r="AH68" i="1"/>
  <c r="AA66" i="1"/>
  <c r="AH66" i="1"/>
  <c r="AD66" i="1"/>
  <c r="G31" i="1"/>
  <c r="AF30" i="1"/>
  <c r="AA56" i="1"/>
  <c r="G29" i="1"/>
  <c r="S29" i="1"/>
  <c r="AC32" i="1"/>
  <c r="AD32" i="1" s="1"/>
  <c r="G33" i="1"/>
  <c r="AD67" i="1"/>
  <c r="AA67" i="1"/>
  <c r="AH67" i="1"/>
  <c r="AE64" i="1"/>
  <c r="AG64" i="1"/>
  <c r="AA64" i="1"/>
  <c r="AH64" i="1"/>
  <c r="AH56" i="1"/>
  <c r="AD63" i="1"/>
  <c r="AH63" i="1"/>
  <c r="AA63" i="1"/>
  <c r="AA59" i="1"/>
  <c r="Y33" i="1"/>
  <c r="Z33" i="1" s="1"/>
  <c r="AH33" i="1" s="1"/>
  <c r="AF33" i="1"/>
  <c r="Y29" i="1"/>
  <c r="Z29" i="1" s="1"/>
  <c r="AF29" i="1"/>
  <c r="AC29" i="1"/>
  <c r="AD29" i="1" s="1"/>
  <c r="AC33" i="1"/>
  <c r="AD33" i="1" s="1"/>
  <c r="AC31" i="1"/>
  <c r="AD31" i="1" s="1"/>
  <c r="AE60" i="1"/>
  <c r="AA60" i="1"/>
  <c r="AA58" i="1"/>
  <c r="AA61" i="1"/>
  <c r="AD61" i="1"/>
  <c r="AE61" i="1" s="1"/>
  <c r="AG60" i="1"/>
  <c r="AA55" i="1"/>
  <c r="AE59" i="1"/>
  <c r="AG59" i="1"/>
  <c r="AA57" i="1"/>
  <c r="AA54" i="1"/>
  <c r="AA53" i="1"/>
  <c r="AA52" i="1"/>
  <c r="AD22" i="1"/>
  <c r="AE22" i="1" s="1"/>
  <c r="AD38" i="1"/>
  <c r="AG38" i="1" s="1"/>
  <c r="AD58" i="1"/>
  <c r="AC45" i="1"/>
  <c r="AD45" i="1" s="1"/>
  <c r="AD49" i="1"/>
  <c r="AE49" i="1" s="1"/>
  <c r="AC26" i="1"/>
  <c r="AD26" i="1" s="1"/>
  <c r="AC24" i="1"/>
  <c r="AD24" i="1" s="1"/>
  <c r="AC39" i="1"/>
  <c r="AD39" i="1" s="1"/>
  <c r="AD34" i="1"/>
  <c r="AG34" i="1" s="1"/>
  <c r="AD25" i="1"/>
  <c r="AE25" i="1" s="1"/>
  <c r="AD48" i="1"/>
  <c r="AG48" i="1" s="1"/>
  <c r="AD16" i="1"/>
  <c r="AE16" i="1" s="1"/>
  <c r="AA51" i="1"/>
  <c r="AD55" i="1"/>
  <c r="AD54" i="1"/>
  <c r="AD56" i="1"/>
  <c r="AD53" i="1"/>
  <c r="AD52" i="1"/>
  <c r="AD57" i="1"/>
  <c r="AD51" i="1"/>
  <c r="AA47" i="1"/>
  <c r="AA46" i="1"/>
  <c r="AA35" i="1"/>
  <c r="AA44" i="1"/>
  <c r="AA45" i="1"/>
  <c r="AA43" i="1"/>
  <c r="AA50" i="1"/>
  <c r="AA49" i="1"/>
  <c r="AA48" i="1"/>
  <c r="AD44" i="1"/>
  <c r="AG44" i="1" s="1"/>
  <c r="AD50" i="1"/>
  <c r="AG50" i="1" s="1"/>
  <c r="AD47" i="1"/>
  <c r="AD46" i="1"/>
  <c r="AD43" i="1"/>
  <c r="AE43" i="1" s="1"/>
  <c r="AA27" i="1"/>
  <c r="AA38" i="1"/>
  <c r="AA22" i="1"/>
  <c r="AA37" i="1"/>
  <c r="AA36" i="1"/>
  <c r="AA39" i="1"/>
  <c r="AA40" i="1"/>
  <c r="AA34" i="1"/>
  <c r="AA41" i="1"/>
  <c r="AD35" i="1"/>
  <c r="AG35" i="1" s="1"/>
  <c r="AD37" i="1"/>
  <c r="AD41" i="1"/>
  <c r="AD40" i="1"/>
  <c r="AA25" i="1"/>
  <c r="AD36" i="1"/>
  <c r="AA24" i="1"/>
  <c r="AA28" i="1"/>
  <c r="AA23" i="1"/>
  <c r="AA26" i="1"/>
  <c r="AD23" i="1"/>
  <c r="AD28" i="1"/>
  <c r="AD27" i="1"/>
  <c r="AA16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B2" i="1"/>
  <c r="AC2" i="1" s="1"/>
  <c r="AB3" i="1"/>
  <c r="AC3" i="1" s="1"/>
  <c r="AB4" i="1"/>
  <c r="AB5" i="1"/>
  <c r="AC5" i="1" s="1"/>
  <c r="AB6" i="1"/>
  <c r="AC6" i="1" s="1"/>
  <c r="AB7" i="1"/>
  <c r="AC7" i="1" s="1"/>
  <c r="AB8" i="1"/>
  <c r="AC8" i="1" s="1"/>
  <c r="AB9" i="1"/>
  <c r="AC9" i="1" s="1"/>
  <c r="AB10" i="1"/>
  <c r="AB11" i="1"/>
  <c r="AC11" i="1" s="1"/>
  <c r="AB12" i="1"/>
  <c r="AB13" i="1"/>
  <c r="AB14" i="1"/>
  <c r="AB1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AE81" i="1" l="1"/>
  <c r="AG81" i="1"/>
  <c r="AE80" i="1"/>
  <c r="AG80" i="1"/>
  <c r="AG79" i="1"/>
  <c r="AE79" i="1"/>
  <c r="AE42" i="1"/>
  <c r="AG42" i="1"/>
  <c r="AG16" i="3"/>
  <c r="AE16" i="3"/>
  <c r="AE17" i="3"/>
  <c r="AG17" i="3"/>
  <c r="AG18" i="3"/>
  <c r="AE18" i="3"/>
  <c r="AG19" i="1"/>
  <c r="AE19" i="1"/>
  <c r="AG20" i="1"/>
  <c r="AE20" i="1"/>
  <c r="AG18" i="1"/>
  <c r="AE18" i="1"/>
  <c r="AG17" i="1"/>
  <c r="AE17" i="1"/>
  <c r="AA32" i="1"/>
  <c r="AA31" i="1"/>
  <c r="AE30" i="1"/>
  <c r="AG70" i="3"/>
  <c r="AE68" i="3"/>
  <c r="AG68" i="3"/>
  <c r="AE69" i="3"/>
  <c r="AG69" i="3"/>
  <c r="AG62" i="3"/>
  <c r="AE60" i="3"/>
  <c r="AG60" i="3"/>
  <c r="AE59" i="3"/>
  <c r="AG59" i="3"/>
  <c r="AG62" i="1"/>
  <c r="AE86" i="1"/>
  <c r="AG86" i="1"/>
  <c r="AG74" i="3"/>
  <c r="AG58" i="3"/>
  <c r="AE58" i="3"/>
  <c r="AE40" i="3"/>
  <c r="AE46" i="3"/>
  <c r="AE26" i="3"/>
  <c r="AG26" i="3"/>
  <c r="AE49" i="3"/>
  <c r="AG53" i="3"/>
  <c r="AE53" i="3"/>
  <c r="AG35" i="3"/>
  <c r="AE72" i="3"/>
  <c r="AG43" i="3"/>
  <c r="AG33" i="3"/>
  <c r="AE21" i="3"/>
  <c r="AG21" i="3"/>
  <c r="AG41" i="3"/>
  <c r="AE41" i="3"/>
  <c r="AE51" i="3"/>
  <c r="AG51" i="3"/>
  <c r="AG47" i="3"/>
  <c r="AE47" i="3"/>
  <c r="AE66" i="3"/>
  <c r="AG66" i="3"/>
  <c r="AG38" i="3"/>
  <c r="AE38" i="3"/>
  <c r="AE4" i="3"/>
  <c r="AG4" i="3"/>
  <c r="AG55" i="3"/>
  <c r="AE55" i="3"/>
  <c r="AG83" i="3"/>
  <c r="AE83" i="3"/>
  <c r="AE22" i="3"/>
  <c r="AG22" i="3"/>
  <c r="AE45" i="3"/>
  <c r="AG45" i="3"/>
  <c r="AG39" i="3"/>
  <c r="AE39" i="3"/>
  <c r="AA29" i="3"/>
  <c r="AE3" i="3"/>
  <c r="AG3" i="3"/>
  <c r="AG7" i="3"/>
  <c r="AG25" i="3"/>
  <c r="AE25" i="3"/>
  <c r="AE9" i="3"/>
  <c r="AG9" i="3"/>
  <c r="AG10" i="3"/>
  <c r="AE10" i="3"/>
  <c r="AG63" i="3"/>
  <c r="AE63" i="3"/>
  <c r="AG20" i="3"/>
  <c r="AE20" i="3"/>
  <c r="AG56" i="3"/>
  <c r="AE56" i="3"/>
  <c r="AG50" i="3"/>
  <c r="AE50" i="3"/>
  <c r="AG34" i="3"/>
  <c r="AE34" i="3"/>
  <c r="AH28" i="3"/>
  <c r="AA28" i="3"/>
  <c r="AE19" i="3"/>
  <c r="AG19" i="3"/>
  <c r="AG42" i="3"/>
  <c r="AE42" i="3"/>
  <c r="AH32" i="3"/>
  <c r="AA32" i="3"/>
  <c r="AA31" i="3"/>
  <c r="AH31" i="3"/>
  <c r="AH30" i="3"/>
  <c r="AA30" i="3"/>
  <c r="AG31" i="3"/>
  <c r="AE31" i="3"/>
  <c r="AG2" i="3"/>
  <c r="AE2" i="3"/>
  <c r="AG81" i="3"/>
  <c r="AE81" i="3"/>
  <c r="AE29" i="3"/>
  <c r="AG29" i="3"/>
  <c r="AG32" i="3"/>
  <c r="AE32" i="3"/>
  <c r="AG30" i="3"/>
  <c r="AE30" i="3"/>
  <c r="AE28" i="3"/>
  <c r="AG28" i="3"/>
  <c r="AG91" i="1"/>
  <c r="AE89" i="1"/>
  <c r="AG89" i="1"/>
  <c r="AE88" i="1"/>
  <c r="AG88" i="1"/>
  <c r="AG84" i="1"/>
  <c r="AE32" i="1"/>
  <c r="AE65" i="1"/>
  <c r="AE77" i="1"/>
  <c r="AG77" i="1"/>
  <c r="AE74" i="1"/>
  <c r="AG74" i="1"/>
  <c r="AE71" i="1"/>
  <c r="AE29" i="1"/>
  <c r="AG25" i="1"/>
  <c r="AE66" i="1"/>
  <c r="AG66" i="1"/>
  <c r="AG22" i="1"/>
  <c r="AE67" i="1"/>
  <c r="AG67" i="1"/>
  <c r="AG33" i="1"/>
  <c r="AE48" i="1"/>
  <c r="AA33" i="1"/>
  <c r="AE63" i="1"/>
  <c r="AG63" i="1"/>
  <c r="AA29" i="1"/>
  <c r="AH29" i="1"/>
  <c r="AA3" i="1"/>
  <c r="AH3" i="1"/>
  <c r="AA13" i="1"/>
  <c r="AH13" i="1"/>
  <c r="AA4" i="1"/>
  <c r="AH4" i="1"/>
  <c r="AA12" i="1"/>
  <c r="AH12" i="1"/>
  <c r="AA10" i="1"/>
  <c r="AH10" i="1"/>
  <c r="AA9" i="1"/>
  <c r="AH9" i="1"/>
  <c r="AA2" i="1"/>
  <c r="AH2" i="1"/>
  <c r="AA7" i="1"/>
  <c r="AH7" i="1"/>
  <c r="AA15" i="1"/>
  <c r="AH15" i="1"/>
  <c r="AA14" i="1"/>
  <c r="AH14" i="1"/>
  <c r="AA11" i="1"/>
  <c r="AH11" i="1"/>
  <c r="AA8" i="1"/>
  <c r="AH8" i="1"/>
  <c r="AA6" i="1"/>
  <c r="AH6" i="1"/>
  <c r="AA30" i="1"/>
  <c r="AH30" i="1"/>
  <c r="AA5" i="1"/>
  <c r="AH5" i="1"/>
  <c r="AG61" i="1"/>
  <c r="AG30" i="1"/>
  <c r="AG16" i="1"/>
  <c r="AE38" i="1"/>
  <c r="AG24" i="1"/>
  <c r="AE24" i="1"/>
  <c r="AE39" i="1"/>
  <c r="AG39" i="1"/>
  <c r="AG26" i="1"/>
  <c r="AE26" i="1"/>
  <c r="AG45" i="1"/>
  <c r="AE45" i="1"/>
  <c r="AE34" i="1"/>
  <c r="AC15" i="1"/>
  <c r="AD15" i="1" s="1"/>
  <c r="AC10" i="1"/>
  <c r="AD10" i="1" s="1"/>
  <c r="AG32" i="1"/>
  <c r="AE58" i="1"/>
  <c r="AG58" i="1"/>
  <c r="AG49" i="1"/>
  <c r="AC14" i="1"/>
  <c r="AD14" i="1" s="1"/>
  <c r="AC13" i="1"/>
  <c r="AD13" i="1" s="1"/>
  <c r="AC4" i="1"/>
  <c r="AD4" i="1" s="1"/>
  <c r="AC12" i="1"/>
  <c r="AD12" i="1" s="1"/>
  <c r="AE57" i="1"/>
  <c r="AG57" i="1"/>
  <c r="AE33" i="1"/>
  <c r="AG52" i="1"/>
  <c r="AE52" i="1"/>
  <c r="AG53" i="1"/>
  <c r="AE53" i="1"/>
  <c r="AE56" i="1"/>
  <c r="AG56" i="1"/>
  <c r="AE54" i="1"/>
  <c r="AG54" i="1"/>
  <c r="AG55" i="1"/>
  <c r="AE55" i="1"/>
  <c r="AG51" i="1"/>
  <c r="AE51" i="1"/>
  <c r="AG29" i="1"/>
  <c r="AE31" i="1"/>
  <c r="AG31" i="1"/>
  <c r="AE44" i="1"/>
  <c r="AG43" i="1"/>
  <c r="AE47" i="1"/>
  <c r="AG47" i="1"/>
  <c r="AE46" i="1"/>
  <c r="AG46" i="1"/>
  <c r="AE50" i="1"/>
  <c r="AE35" i="1"/>
  <c r="AE40" i="1"/>
  <c r="AG40" i="1"/>
  <c r="AE41" i="1"/>
  <c r="AG41" i="1"/>
  <c r="AE37" i="1"/>
  <c r="AG37" i="1"/>
  <c r="AG36" i="1"/>
  <c r="AE36" i="1"/>
  <c r="AE28" i="1"/>
  <c r="AG28" i="1"/>
  <c r="AE27" i="1"/>
  <c r="AG27" i="1"/>
  <c r="AE23" i="1"/>
  <c r="AG23" i="1"/>
  <c r="AD11" i="1"/>
  <c r="AD3" i="1"/>
  <c r="AG3" i="1" s="1"/>
  <c r="AD2" i="1"/>
  <c r="AD7" i="1"/>
  <c r="AD6" i="1"/>
  <c r="AD5" i="1"/>
  <c r="AD9" i="1"/>
  <c r="AD8" i="1"/>
  <c r="AG14" i="1" l="1"/>
  <c r="AE14" i="1"/>
  <c r="AG15" i="1"/>
  <c r="AE15" i="1"/>
  <c r="AE4" i="1"/>
  <c r="AG4" i="1"/>
  <c r="AG10" i="1"/>
  <c r="AE10" i="1"/>
  <c r="AG12" i="1"/>
  <c r="AE12" i="1"/>
  <c r="AE13" i="1"/>
  <c r="AG13" i="1"/>
  <c r="AE11" i="1"/>
  <c r="AG11" i="1"/>
  <c r="AE3" i="1"/>
  <c r="AG2" i="1"/>
  <c r="AE2" i="1"/>
  <c r="AG6" i="1"/>
  <c r="AE6" i="1"/>
  <c r="AE5" i="1"/>
  <c r="AG5" i="1"/>
  <c r="AG7" i="1"/>
  <c r="AE7" i="1"/>
  <c r="AG9" i="1"/>
  <c r="AE9" i="1"/>
  <c r="AE8" i="1"/>
  <c r="AG8" i="1"/>
</calcChain>
</file>

<file path=xl/sharedStrings.xml><?xml version="1.0" encoding="utf-8"?>
<sst xmlns="http://schemas.openxmlformats.org/spreadsheetml/2006/main" count="693" uniqueCount="63">
  <si>
    <t>TWS (km/h)</t>
  </si>
  <si>
    <t>VMG (km/h)</t>
  </si>
  <si>
    <t>BSP (km/h)</t>
  </si>
  <si>
    <t>TWA (deg)</t>
  </si>
  <si>
    <t>LEEWAY (deg)</t>
  </si>
  <si>
    <t>CANT (deg)</t>
  </si>
  <si>
    <t>HEEL (deg)</t>
  </si>
  <si>
    <t>EFF CANT (deg)</t>
  </si>
  <si>
    <t>RH LW (mm)</t>
  </si>
  <si>
    <t>DIFF (deg)</t>
  </si>
  <si>
    <t>AVG (deg)</t>
  </si>
  <si>
    <t>PITCH (deg)</t>
  </si>
  <si>
    <t>CA1 (deg)</t>
  </si>
  <si>
    <t>ROT (deg)</t>
  </si>
  <si>
    <t>CLEW (deg)</t>
  </si>
  <si>
    <t>TWIST (deg)</t>
  </si>
  <si>
    <t>CUNNO (kgf)</t>
  </si>
  <si>
    <t>JibLead (deg)</t>
  </si>
  <si>
    <t>AWA-E1</t>
  </si>
  <si>
    <t>JibSheet (kgf)</t>
  </si>
  <si>
    <t>AWS</t>
  </si>
  <si>
    <t>CA6</t>
  </si>
  <si>
    <t>State</t>
  </si>
  <si>
    <t>Foil</t>
  </si>
  <si>
    <t>Rudder</t>
  </si>
  <si>
    <t>Wing</t>
  </si>
  <si>
    <t>TWSTop</t>
  </si>
  <si>
    <t>AWA+Leeway</t>
  </si>
  <si>
    <t>AWSTop</t>
  </si>
  <si>
    <t>AWA+Leeway Top</t>
  </si>
  <si>
    <t>AWATop-E1</t>
  </si>
  <si>
    <t>AWATop - CA6</t>
  </si>
  <si>
    <t>Foiling</t>
  </si>
  <si>
    <t>HSB2</t>
  </si>
  <si>
    <t>HSRW2</t>
  </si>
  <si>
    <t>Config</t>
  </si>
  <si>
    <t>LARW2</t>
  </si>
  <si>
    <t>LAB2</t>
  </si>
  <si>
    <t>H2</t>
  </si>
  <si>
    <t>AWA-JibLead</t>
  </si>
  <si>
    <t>H1-2B</t>
  </si>
  <si>
    <t>H1</t>
  </si>
  <si>
    <t>Tack</t>
  </si>
  <si>
    <t>APW</t>
  </si>
  <si>
    <t>TWS</t>
  </si>
  <si>
    <t>Drop target</t>
  </si>
  <si>
    <t>Clew Land</t>
  </si>
  <si>
    <t>Jib Land</t>
  </si>
  <si>
    <t>BSP Jib</t>
  </si>
  <si>
    <t>Low pod</t>
  </si>
  <si>
    <t>HAW</t>
  </si>
  <si>
    <t>Mid Low Pod</t>
  </si>
  <si>
    <t>Mid Pod</t>
  </si>
  <si>
    <t>Mid Low pod</t>
  </si>
  <si>
    <t>Bottom Speed</t>
  </si>
  <si>
    <t>Gybe</t>
  </si>
  <si>
    <t>CL</t>
  </si>
  <si>
    <t>Low Pod</t>
  </si>
  <si>
    <t>Drop Target</t>
  </si>
  <si>
    <t>LAW</t>
  </si>
  <si>
    <t>Mid High Pod</t>
  </si>
  <si>
    <t xml:space="preserve">  </t>
  </si>
  <si>
    <t>Mid 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</si>
</sst>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/>
    <xf numFmtId="164" fontId="0" fillId="2" borderId="3" xfId="0" applyNumberFormat="1" applyFill="1" applyBorder="1"/>
    <xf numFmtId="164" fontId="0" fillId="2" borderId="0" xfId="0" applyNumberFormat="1" applyFill="1"/>
    <xf numFmtId="0" fontId="0" fillId="2" borderId="4" xfId="0" applyFill="1" applyBorder="1"/>
    <xf numFmtId="0" fontId="0" fillId="2" borderId="0" xfId="0" applyFill="1"/>
    <xf numFmtId="164" fontId="0" fillId="2" borderId="5" xfId="0" applyNumberFormat="1" applyFill="1" applyBorder="1"/>
    <xf numFmtId="0" fontId="0" fillId="3" borderId="4" xfId="0" applyFill="1" applyBorder="1"/>
    <xf numFmtId="0" fontId="0" fillId="3" borderId="0" xfId="0" applyFill="1"/>
    <xf numFmtId="164" fontId="0" fillId="3" borderId="0" xfId="0" applyNumberFormat="1" applyFill="1"/>
    <xf numFmtId="164" fontId="0" fillId="3" borderId="5" xfId="0" applyNumberFormat="1" applyFill="1" applyBorder="1"/>
    <xf numFmtId="0" fontId="0" fillId="4" borderId="4" xfId="0" applyFill="1" applyBorder="1"/>
    <xf numFmtId="0" fontId="0" fillId="4" borderId="0" xfId="0" applyFill="1"/>
    <xf numFmtId="164" fontId="0" fillId="4" borderId="0" xfId="0" applyNumberFormat="1" applyFill="1"/>
    <xf numFmtId="164" fontId="0" fillId="4" borderId="5" xfId="0" applyNumberFormat="1" applyFill="1" applyBorder="1"/>
    <xf numFmtId="0" fontId="0" fillId="4" borderId="6" xfId="0" applyFill="1" applyBorder="1"/>
    <xf numFmtId="0" fontId="0" fillId="4" borderId="7" xfId="0" applyFill="1" applyBorder="1"/>
    <xf numFmtId="164" fontId="0" fillId="4" borderId="7" xfId="0" applyNumberFormat="1" applyFill="1" applyBorder="1"/>
    <xf numFmtId="164" fontId="0" fillId="4" borderId="8" xfId="0" applyNumberForma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58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UW!$U$1</c:f>
              <c:strCache>
                <c:ptCount val="1"/>
                <c:pt idx="0">
                  <c:v>TWIST (deg)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UW!$F$2:$F$82</c:f>
              <c:numCache>
                <c:formatCode>General</c:formatCode>
                <c:ptCount val="81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34</c:v>
                </c:pt>
                <c:pt idx="11">
                  <c:v>36</c:v>
                </c:pt>
                <c:pt idx="12">
                  <c:v>38</c:v>
                </c:pt>
                <c:pt idx="13">
                  <c:v>40</c:v>
                </c:pt>
                <c:pt idx="14">
                  <c:v>20</c:v>
                </c:pt>
                <c:pt idx="15">
                  <c:v>22</c:v>
                </c:pt>
                <c:pt idx="16">
                  <c:v>24</c:v>
                </c:pt>
                <c:pt idx="17">
                  <c:v>26</c:v>
                </c:pt>
                <c:pt idx="18">
                  <c:v>28</c:v>
                </c:pt>
                <c:pt idx="19">
                  <c:v>30</c:v>
                </c:pt>
                <c:pt idx="20">
                  <c:v>32</c:v>
                </c:pt>
                <c:pt idx="21">
                  <c:v>34</c:v>
                </c:pt>
                <c:pt idx="22">
                  <c:v>36</c:v>
                </c:pt>
                <c:pt idx="23">
                  <c:v>38</c:v>
                </c:pt>
                <c:pt idx="24">
                  <c:v>40</c:v>
                </c:pt>
                <c:pt idx="25">
                  <c:v>42</c:v>
                </c:pt>
                <c:pt idx="26">
                  <c:v>44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20</c:v>
                </c:pt>
                <c:pt idx="31">
                  <c:v>22</c:v>
                </c:pt>
                <c:pt idx="32">
                  <c:v>14</c:v>
                </c:pt>
                <c:pt idx="33">
                  <c:v>16</c:v>
                </c:pt>
                <c:pt idx="34">
                  <c:v>18</c:v>
                </c:pt>
                <c:pt idx="35">
                  <c:v>20</c:v>
                </c:pt>
                <c:pt idx="36">
                  <c:v>22</c:v>
                </c:pt>
                <c:pt idx="37">
                  <c:v>24</c:v>
                </c:pt>
                <c:pt idx="38">
                  <c:v>26</c:v>
                </c:pt>
                <c:pt idx="39">
                  <c:v>28</c:v>
                </c:pt>
                <c:pt idx="40">
                  <c:v>12</c:v>
                </c:pt>
                <c:pt idx="41">
                  <c:v>14</c:v>
                </c:pt>
                <c:pt idx="42">
                  <c:v>16</c:v>
                </c:pt>
                <c:pt idx="43">
                  <c:v>18</c:v>
                </c:pt>
                <c:pt idx="44">
                  <c:v>20</c:v>
                </c:pt>
                <c:pt idx="45">
                  <c:v>22</c:v>
                </c:pt>
                <c:pt idx="46">
                  <c:v>24</c:v>
                </c:pt>
                <c:pt idx="47">
                  <c:v>26</c:v>
                </c:pt>
                <c:pt idx="48">
                  <c:v>28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20</c:v>
                </c:pt>
                <c:pt idx="56">
                  <c:v>7</c:v>
                </c:pt>
                <c:pt idx="57">
                  <c:v>9</c:v>
                </c:pt>
                <c:pt idx="58">
                  <c:v>11</c:v>
                </c:pt>
                <c:pt idx="59">
                  <c:v>13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12</c:v>
                </c:pt>
                <c:pt idx="65">
                  <c:v>13</c:v>
                </c:pt>
                <c:pt idx="66">
                  <c:v>14</c:v>
                </c:pt>
                <c:pt idx="67">
                  <c:v>8</c:v>
                </c:pt>
                <c:pt idx="68">
                  <c:v>10</c:v>
                </c:pt>
                <c:pt idx="69">
                  <c:v>12</c:v>
                </c:pt>
                <c:pt idx="70">
                  <c:v>14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12</c:v>
                </c:pt>
                <c:pt idx="76">
                  <c:v>13</c:v>
                </c:pt>
                <c:pt idx="77">
                  <c:v>14</c:v>
                </c:pt>
                <c:pt idx="78">
                  <c:v>16</c:v>
                </c:pt>
                <c:pt idx="79">
                  <c:v>18</c:v>
                </c:pt>
                <c:pt idx="80">
                  <c:v>20</c:v>
                </c:pt>
              </c:numCache>
            </c:numRef>
          </c:xVal>
          <c:yVal>
            <c:numRef>
              <c:f>UW!$U$2:$U$82</c:f>
              <c:numCache>
                <c:formatCode>0.0</c:formatCode>
                <c:ptCount val="81"/>
                <c:pt idx="0">
                  <c:v>23</c:v>
                </c:pt>
                <c:pt idx="1">
                  <c:v>24</c:v>
                </c:pt>
                <c:pt idx="2">
                  <c:v>25.5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30.5</c:v>
                </c:pt>
                <c:pt idx="8">
                  <c:v>31</c:v>
                </c:pt>
                <c:pt idx="9">
                  <c:v>31.5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14</c:v>
                </c:pt>
                <c:pt idx="15">
                  <c:v>17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24.5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21</c:v>
                </c:pt>
                <c:pt idx="28">
                  <c:v>24</c:v>
                </c:pt>
                <c:pt idx="29">
                  <c:v>26</c:v>
                </c:pt>
                <c:pt idx="30">
                  <c:v>28</c:v>
                </c:pt>
                <c:pt idx="31">
                  <c:v>30</c:v>
                </c:pt>
                <c:pt idx="32">
                  <c:v>16</c:v>
                </c:pt>
                <c:pt idx="33">
                  <c:v>20</c:v>
                </c:pt>
                <c:pt idx="34">
                  <c:v>24</c:v>
                </c:pt>
                <c:pt idx="35">
                  <c:v>26</c:v>
                </c:pt>
                <c:pt idx="36">
                  <c:v>27.5</c:v>
                </c:pt>
                <c:pt idx="37">
                  <c:v>28.5</c:v>
                </c:pt>
                <c:pt idx="38">
                  <c:v>30</c:v>
                </c:pt>
                <c:pt idx="39">
                  <c:v>31</c:v>
                </c:pt>
                <c:pt idx="40">
                  <c:v>10</c:v>
                </c:pt>
                <c:pt idx="41">
                  <c:v>16</c:v>
                </c:pt>
                <c:pt idx="42">
                  <c:v>20</c:v>
                </c:pt>
                <c:pt idx="43">
                  <c:v>23</c:v>
                </c:pt>
                <c:pt idx="44">
                  <c:v>26</c:v>
                </c:pt>
                <c:pt idx="45">
                  <c:v>27.5</c:v>
                </c:pt>
                <c:pt idx="46">
                  <c:v>28.5</c:v>
                </c:pt>
                <c:pt idx="47">
                  <c:v>30</c:v>
                </c:pt>
                <c:pt idx="48">
                  <c:v>31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</c:v>
                </c:pt>
                <c:pt idx="57">
                  <c:v>6</c:v>
                </c:pt>
                <c:pt idx="58">
                  <c:v>6.5</c:v>
                </c:pt>
                <c:pt idx="59">
                  <c:v>7</c:v>
                </c:pt>
                <c:pt idx="60">
                  <c:v>8.9</c:v>
                </c:pt>
                <c:pt idx="61">
                  <c:v>8</c:v>
                </c:pt>
                <c:pt idx="62">
                  <c:v>7.3</c:v>
                </c:pt>
                <c:pt idx="63">
                  <c:v>7.3</c:v>
                </c:pt>
                <c:pt idx="64">
                  <c:v>7</c:v>
                </c:pt>
                <c:pt idx="65">
                  <c:v>10</c:v>
                </c:pt>
                <c:pt idx="66">
                  <c:v>15</c:v>
                </c:pt>
                <c:pt idx="67">
                  <c:v>6.5</c:v>
                </c:pt>
                <c:pt idx="68">
                  <c:v>6.9</c:v>
                </c:pt>
                <c:pt idx="69">
                  <c:v>7.2</c:v>
                </c:pt>
                <c:pt idx="70">
                  <c:v>7.8</c:v>
                </c:pt>
                <c:pt idx="71">
                  <c:v>9.1999999999999993</c:v>
                </c:pt>
                <c:pt idx="72">
                  <c:v>8.4</c:v>
                </c:pt>
                <c:pt idx="73">
                  <c:v>8.3000000000000007</c:v>
                </c:pt>
                <c:pt idx="74">
                  <c:v>8.1999999999999993</c:v>
                </c:pt>
                <c:pt idx="75">
                  <c:v>7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9E-4B58-8BA0-609754672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249792"/>
        <c:axId val="661250272"/>
      </c:scatterChart>
      <c:valAx>
        <c:axId val="66124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50272"/>
        <c:crosses val="autoZero"/>
        <c:crossBetween val="midCat"/>
      </c:valAx>
      <c:valAx>
        <c:axId val="66125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24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DW!$H$1</c:f>
              <c:strCache>
                <c:ptCount val="1"/>
                <c:pt idx="0">
                  <c:v>BSP (km/h)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DW!$F$2:$F$83</c:f>
              <c:numCache>
                <c:formatCode>General</c:formatCode>
                <c:ptCount val="82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  <c:pt idx="8">
                  <c:v>30</c:v>
                </c:pt>
                <c:pt idx="9">
                  <c:v>32</c:v>
                </c:pt>
                <c:pt idx="10">
                  <c:v>34</c:v>
                </c:pt>
                <c:pt idx="11">
                  <c:v>36</c:v>
                </c:pt>
                <c:pt idx="12">
                  <c:v>38</c:v>
                </c:pt>
                <c:pt idx="13">
                  <c:v>20</c:v>
                </c:pt>
                <c:pt idx="14">
                  <c:v>22</c:v>
                </c:pt>
                <c:pt idx="15">
                  <c:v>24</c:v>
                </c:pt>
                <c:pt idx="16">
                  <c:v>26</c:v>
                </c:pt>
                <c:pt idx="17">
                  <c:v>28</c:v>
                </c:pt>
                <c:pt idx="18">
                  <c:v>30</c:v>
                </c:pt>
                <c:pt idx="19">
                  <c:v>32</c:v>
                </c:pt>
                <c:pt idx="20">
                  <c:v>34</c:v>
                </c:pt>
                <c:pt idx="21">
                  <c:v>36</c:v>
                </c:pt>
                <c:pt idx="22">
                  <c:v>38</c:v>
                </c:pt>
                <c:pt idx="23">
                  <c:v>40</c:v>
                </c:pt>
                <c:pt idx="24">
                  <c:v>42</c:v>
                </c:pt>
                <c:pt idx="25">
                  <c:v>44</c:v>
                </c:pt>
                <c:pt idx="26">
                  <c:v>14</c:v>
                </c:pt>
                <c:pt idx="27">
                  <c:v>16</c:v>
                </c:pt>
                <c:pt idx="28">
                  <c:v>18</c:v>
                </c:pt>
                <c:pt idx="29">
                  <c:v>20</c:v>
                </c:pt>
                <c:pt idx="30">
                  <c:v>22</c:v>
                </c:pt>
                <c:pt idx="31">
                  <c:v>14</c:v>
                </c:pt>
                <c:pt idx="32">
                  <c:v>16</c:v>
                </c:pt>
                <c:pt idx="33">
                  <c:v>18</c:v>
                </c:pt>
                <c:pt idx="34">
                  <c:v>20</c:v>
                </c:pt>
                <c:pt idx="35">
                  <c:v>22</c:v>
                </c:pt>
                <c:pt idx="36">
                  <c:v>24</c:v>
                </c:pt>
                <c:pt idx="37">
                  <c:v>26</c:v>
                </c:pt>
                <c:pt idx="38">
                  <c:v>28</c:v>
                </c:pt>
                <c:pt idx="39">
                  <c:v>14</c:v>
                </c:pt>
                <c:pt idx="40">
                  <c:v>16</c:v>
                </c:pt>
                <c:pt idx="41">
                  <c:v>18</c:v>
                </c:pt>
                <c:pt idx="42">
                  <c:v>20</c:v>
                </c:pt>
                <c:pt idx="43">
                  <c:v>22</c:v>
                </c:pt>
                <c:pt idx="44">
                  <c:v>24</c:v>
                </c:pt>
                <c:pt idx="45">
                  <c:v>26</c:v>
                </c:pt>
                <c:pt idx="46">
                  <c:v>28</c:v>
                </c:pt>
                <c:pt idx="47">
                  <c:v>13</c:v>
                </c:pt>
                <c:pt idx="48">
                  <c:v>14</c:v>
                </c:pt>
                <c:pt idx="49">
                  <c:v>16</c:v>
                </c:pt>
                <c:pt idx="50">
                  <c:v>18</c:v>
                </c:pt>
                <c:pt idx="51">
                  <c:v>20</c:v>
                </c:pt>
                <c:pt idx="52">
                  <c:v>7</c:v>
                </c:pt>
                <c:pt idx="53">
                  <c:v>9</c:v>
                </c:pt>
                <c:pt idx="54">
                  <c:v>11</c:v>
                </c:pt>
                <c:pt idx="55">
                  <c:v>13</c:v>
                </c:pt>
                <c:pt idx="56">
                  <c:v>15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14</c:v>
                </c:pt>
                <c:pt idx="61">
                  <c:v>8</c:v>
                </c:pt>
                <c:pt idx="62">
                  <c:v>10</c:v>
                </c:pt>
                <c:pt idx="63">
                  <c:v>12</c:v>
                </c:pt>
                <c:pt idx="64">
                  <c:v>14</c:v>
                </c:pt>
                <c:pt idx="65">
                  <c:v>12</c:v>
                </c:pt>
                <c:pt idx="66">
                  <c:v>13</c:v>
                </c:pt>
                <c:pt idx="67">
                  <c:v>14</c:v>
                </c:pt>
                <c:pt idx="68">
                  <c:v>14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9</c:v>
                </c:pt>
                <c:pt idx="75">
                  <c:v>10</c:v>
                </c:pt>
                <c:pt idx="76">
                  <c:v>11</c:v>
                </c:pt>
                <c:pt idx="77">
                  <c:v>12</c:v>
                </c:pt>
                <c:pt idx="78">
                  <c:v>13</c:v>
                </c:pt>
                <c:pt idx="79">
                  <c:v>12</c:v>
                </c:pt>
                <c:pt idx="80">
                  <c:v>13</c:v>
                </c:pt>
                <c:pt idx="81">
                  <c:v>14</c:v>
                </c:pt>
              </c:numCache>
            </c:numRef>
          </c:xVal>
          <c:yVal>
            <c:numRef>
              <c:f>DW!$H$2:$H$83</c:f>
              <c:numCache>
                <c:formatCode>0.0</c:formatCode>
                <c:ptCount val="82"/>
                <c:pt idx="0">
                  <c:v>50</c:v>
                </c:pt>
                <c:pt idx="1">
                  <c:v>58</c:v>
                </c:pt>
                <c:pt idx="2">
                  <c:v>62</c:v>
                </c:pt>
                <c:pt idx="3">
                  <c:v>65</c:v>
                </c:pt>
                <c:pt idx="4">
                  <c:v>67</c:v>
                </c:pt>
                <c:pt idx="5">
                  <c:v>69</c:v>
                </c:pt>
                <c:pt idx="6">
                  <c:v>70.5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63</c:v>
                </c:pt>
                <c:pt idx="14">
                  <c:v>67</c:v>
                </c:pt>
                <c:pt idx="15">
                  <c:v>71</c:v>
                </c:pt>
                <c:pt idx="16">
                  <c:v>75</c:v>
                </c:pt>
                <c:pt idx="17">
                  <c:v>78</c:v>
                </c:pt>
                <c:pt idx="18">
                  <c:v>80</c:v>
                </c:pt>
                <c:pt idx="19">
                  <c:v>81</c:v>
                </c:pt>
                <c:pt idx="20">
                  <c:v>82</c:v>
                </c:pt>
                <c:pt idx="21">
                  <c:v>83</c:v>
                </c:pt>
                <c:pt idx="22">
                  <c:v>84</c:v>
                </c:pt>
                <c:pt idx="23">
                  <c:v>84.5</c:v>
                </c:pt>
                <c:pt idx="24">
                  <c:v>85</c:v>
                </c:pt>
                <c:pt idx="25">
                  <c:v>86</c:v>
                </c:pt>
                <c:pt idx="26">
                  <c:v>48.4</c:v>
                </c:pt>
                <c:pt idx="27">
                  <c:v>51</c:v>
                </c:pt>
                <c:pt idx="28">
                  <c:v>55</c:v>
                </c:pt>
                <c:pt idx="29">
                  <c:v>60</c:v>
                </c:pt>
                <c:pt idx="30">
                  <c:v>63.5</c:v>
                </c:pt>
                <c:pt idx="31">
                  <c:v>51</c:v>
                </c:pt>
                <c:pt idx="32">
                  <c:v>52</c:v>
                </c:pt>
                <c:pt idx="33">
                  <c:v>53.5</c:v>
                </c:pt>
                <c:pt idx="34">
                  <c:v>57</c:v>
                </c:pt>
                <c:pt idx="35">
                  <c:v>60.6</c:v>
                </c:pt>
                <c:pt idx="36">
                  <c:v>65.2</c:v>
                </c:pt>
                <c:pt idx="37">
                  <c:v>69.7</c:v>
                </c:pt>
                <c:pt idx="38">
                  <c:v>73.8</c:v>
                </c:pt>
                <c:pt idx="39">
                  <c:v>50</c:v>
                </c:pt>
                <c:pt idx="40">
                  <c:v>51</c:v>
                </c:pt>
                <c:pt idx="41">
                  <c:v>52.5</c:v>
                </c:pt>
                <c:pt idx="42">
                  <c:v>55</c:v>
                </c:pt>
                <c:pt idx="43">
                  <c:v>60</c:v>
                </c:pt>
                <c:pt idx="44">
                  <c:v>64.5</c:v>
                </c:pt>
                <c:pt idx="45">
                  <c:v>69</c:v>
                </c:pt>
                <c:pt idx="46">
                  <c:v>73</c:v>
                </c:pt>
                <c:pt idx="47">
                  <c:v>47</c:v>
                </c:pt>
                <c:pt idx="48">
                  <c:v>50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13</c:v>
                </c:pt>
                <c:pt idx="53">
                  <c:v>14.5</c:v>
                </c:pt>
                <c:pt idx="54">
                  <c:v>16</c:v>
                </c:pt>
                <c:pt idx="55">
                  <c:v>18</c:v>
                </c:pt>
                <c:pt idx="56">
                  <c:v>22</c:v>
                </c:pt>
                <c:pt idx="57">
                  <c:v>25</c:v>
                </c:pt>
                <c:pt idx="58">
                  <c:v>25.5</c:v>
                </c:pt>
                <c:pt idx="59">
                  <c:v>26</c:v>
                </c:pt>
                <c:pt idx="60">
                  <c:v>29</c:v>
                </c:pt>
                <c:pt idx="61">
                  <c:v>14</c:v>
                </c:pt>
                <c:pt idx="62">
                  <c:v>15</c:v>
                </c:pt>
                <c:pt idx="63">
                  <c:v>17</c:v>
                </c:pt>
                <c:pt idx="64">
                  <c:v>19</c:v>
                </c:pt>
                <c:pt idx="65">
                  <c:v>24.5</c:v>
                </c:pt>
                <c:pt idx="66">
                  <c:v>25</c:v>
                </c:pt>
                <c:pt idx="67">
                  <c:v>25.4</c:v>
                </c:pt>
                <c:pt idx="68">
                  <c:v>28.8</c:v>
                </c:pt>
                <c:pt idx="69">
                  <c:v>12.5</c:v>
                </c:pt>
                <c:pt idx="70">
                  <c:v>13</c:v>
                </c:pt>
                <c:pt idx="71">
                  <c:v>14</c:v>
                </c:pt>
                <c:pt idx="72">
                  <c:v>15</c:v>
                </c:pt>
                <c:pt idx="73">
                  <c:v>17</c:v>
                </c:pt>
                <c:pt idx="74">
                  <c:v>19</c:v>
                </c:pt>
                <c:pt idx="75">
                  <c:v>20.5</c:v>
                </c:pt>
                <c:pt idx="76">
                  <c:v>21.6</c:v>
                </c:pt>
                <c:pt idx="77">
                  <c:v>22.5</c:v>
                </c:pt>
                <c:pt idx="78">
                  <c:v>23.4</c:v>
                </c:pt>
                <c:pt idx="79">
                  <c:v>24.3</c:v>
                </c:pt>
                <c:pt idx="80">
                  <c:v>25</c:v>
                </c:pt>
                <c:pt idx="81">
                  <c:v>25.4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4-4C64-8062-E99BFD3B7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878991"/>
        <c:axId val="1330879471"/>
      </c:scatterChart>
      <c:valAx>
        <c:axId val="133087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79471"/>
        <c:crosses val="autoZero"/>
        <c:crossBetween val="midCat"/>
      </c:valAx>
      <c:valAx>
        <c:axId val="13308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7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 target LAB2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System!$AE$5</c:f>
              <c:strCache>
                <c:ptCount val="1"/>
                <c:pt idx="0">
                  <c:v>Drop 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System!$AD$6:$AD$10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33.5</c:v>
                </c:pt>
                <c:pt idx="4">
                  <c:v>34.5</c:v>
                </c:pt>
              </c:numCache>
            </c:numRef>
          </c:xVal>
          <c:yVal>
            <c:numRef>
              <c:f>System!$AE$6:$AE$10</c:f>
              <c:numCache>
                <c:formatCode>General</c:formatCode>
                <c:ptCount val="5"/>
                <c:pt idx="0">
                  <c:v>3.5</c:v>
                </c:pt>
                <c:pt idx="1">
                  <c:v>3.4</c:v>
                </c:pt>
                <c:pt idx="2">
                  <c:v>3.2</c:v>
                </c:pt>
                <c:pt idx="3">
                  <c:v>2.7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C-426B-9721-52E1A6073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07807"/>
        <c:axId val="77308767"/>
      </c:scatterChart>
      <c:valAx>
        <c:axId val="77307807"/>
        <c:scaling>
          <c:orientation val="minMax"/>
          <c:min val="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Bottom 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8767"/>
        <c:crosses val="autoZero"/>
        <c:crossBetween val="midCat"/>
      </c:valAx>
      <c:valAx>
        <c:axId val="7730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Drop Target LAB2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System!$AE$21</c:f>
              <c:strCache>
                <c:ptCount val="1"/>
                <c:pt idx="0">
                  <c:v>Drop Target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System!$AD$22:$AD$28</c:f>
              <c:numCache>
                <c:formatCode>General</c:formatCode>
                <c:ptCount val="7"/>
                <c:pt idx="0">
                  <c:v>33</c:v>
                </c:pt>
                <c:pt idx="1">
                  <c:v>36.5</c:v>
                </c:pt>
                <c:pt idx="2">
                  <c:v>37</c:v>
                </c:pt>
                <c:pt idx="3">
                  <c:v>38.5</c:v>
                </c:pt>
                <c:pt idx="4">
                  <c:v>39</c:v>
                </c:pt>
                <c:pt idx="5">
                  <c:v>41</c:v>
                </c:pt>
                <c:pt idx="6">
                  <c:v>43</c:v>
                </c:pt>
              </c:numCache>
            </c:numRef>
          </c:xVal>
          <c:yVal>
            <c:numRef>
              <c:f>System!$AE$22:$AE$28</c:f>
              <c:numCache>
                <c:formatCode>General</c:formatCode>
                <c:ptCount val="7"/>
                <c:pt idx="0">
                  <c:v>2</c:v>
                </c:pt>
                <c:pt idx="1">
                  <c:v>1.8</c:v>
                </c:pt>
                <c:pt idx="2">
                  <c:v>1.75</c:v>
                </c:pt>
                <c:pt idx="3">
                  <c:v>1.6</c:v>
                </c:pt>
                <c:pt idx="4">
                  <c:v>1.5</c:v>
                </c:pt>
                <c:pt idx="5">
                  <c:v>0.9</c:v>
                </c:pt>
                <c:pt idx="6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D-4B5B-9FB3-26F64BAB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158303"/>
        <c:axId val="2006153023"/>
      </c:scatterChart>
      <c:valAx>
        <c:axId val="2006158303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Bottom 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53023"/>
        <c:crosses val="autoZero"/>
        <c:crossBetween val="midCat"/>
      </c:valAx>
      <c:valAx>
        <c:axId val="200615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15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522514</xdr:colOff>
      <xdr:row>95</xdr:row>
      <xdr:rowOff>92529</xdr:rowOff>
    </xdr:from>
    <xdr:to>
      <xdr:col>16</xdr:col>
      <xdr:colOff>402771</xdr:colOff>
      <xdr:row>110</xdr:row>
      <xdr:rowOff>59872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AF814C-E4EE-0C8F-1F48-2542001B2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812132</xdr:colOff>
      <xdr:row>86</xdr:row>
      <xdr:rowOff>162426</xdr:rowOff>
    </xdr:from>
    <xdr:to>
      <xdr:col>10</xdr:col>
      <xdr:colOff>671764</xdr:colOff>
      <xdr:row>102</xdr:row>
      <xdr:rowOff>18047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F6376-D467-09DB-84D7-15D29482C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100149</xdr:colOff>
      <xdr:row>3</xdr:row>
      <xdr:rowOff>33609</xdr:rowOff>
    </xdr:from>
    <xdr:to>
      <xdr:col>39</xdr:col>
      <xdr:colOff>350520</xdr:colOff>
      <xdr:row>18</xdr:row>
      <xdr:rowOff>60279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1C3BC9-F350-9B1E-BC6A-7A08D4288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102598</xdr:colOff>
      <xdr:row>18</xdr:row>
      <xdr:rowOff>189003</xdr:rowOff>
    </xdr:from>
    <xdr:to>
      <xdr:col>39</xdr:col>
      <xdr:colOff>358684</xdr:colOff>
      <xdr:row>34</xdr:row>
      <xdr:rowOff>14015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37B887-83F0-1A45-2F65-297A8E325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ADB41-8FAE-4257-AF81-0501FB3EAE16}" name="Targets_UW" displayName="Targets_UW" ref="A1:AH92" totalsRowShown="0">
  <autoFilter ref="A1:AH92" xr:uid="{EF9ADB41-8FAE-4257-AF81-0501FB3EAE16}"/>
  <tableColumns count="34">
    <tableColumn id="1" xr3:uid="{1BFE6FA7-F094-471F-A675-FDD4DF606C5A}" name="State"/>
    <tableColumn id="2" xr3:uid="{A24C3C13-56AD-4FF8-82D8-8F54DD7C2661}" name="Foil"/>
    <tableColumn id="3" xr3:uid="{9F401ED9-1E98-4A57-96AD-B14798E34365}" name="Rudder"/>
    <tableColumn id="4" xr3:uid="{1617D28D-F28C-4E8A-A611-6FBA8A0F3CA3}" name="Wing"/>
    <tableColumn id="33" xr3:uid="{20119F38-E910-44C7-8313-B36003353D17}" name="Config" dataDxfId="28">
      <calculatedColumnFormula>A2 &amp; "_" &amp; B2 &amp; "_" &amp; C2 &amp; "-" &amp; D2 &amp; "m"</calculatedColumnFormula>
    </tableColumn>
    <tableColumn id="5" xr3:uid="{EC48FA98-E790-4644-A6D2-2EF8CB979BBD}" name="TWS (km/h)"/>
    <tableColumn id="6" xr3:uid="{A25A9557-694C-4E72-B5E4-4E3014D81AAE}" name="VMG (km/h)" dataDxfId="27">
      <calculatedColumnFormula>ABS(Targets_UW[[#This Row],[BSP (km/h)]]*COS(RADIANS(Targets_UW[[#This Row],[TWA (deg)]]+Targets_UW[[#This Row],[LEEWAY (deg)]])))</calculatedColumnFormula>
    </tableColumn>
    <tableColumn id="7" xr3:uid="{8FD6D511-3D0F-4F0F-8E4B-65B990CCFA97}" name="BSP (km/h)" dataDxfId="26"/>
    <tableColumn id="8" xr3:uid="{4DA2C38D-F482-40FC-B57D-067414DDE3CB}" name="TWA (deg)" dataDxfId="25"/>
    <tableColumn id="9" xr3:uid="{F5196B5F-DE4F-435F-9F2B-0420D8C129F1}" name="LEEWAY (deg)" dataDxfId="24"/>
    <tableColumn id="10" xr3:uid="{DDDD15FC-8932-4DD3-AECE-C7A48919CC00}" name="CANT (deg)" dataDxfId="23"/>
    <tableColumn id="11" xr3:uid="{249A0637-8A3E-4A8D-B477-18D50CF27391}" name="HEEL (deg)" dataDxfId="22"/>
    <tableColumn id="12" xr3:uid="{40F1D3A6-04EB-4234-90C6-143B8CC32BF1}" name="EFF CANT (deg)" dataDxfId="21">
      <calculatedColumnFormula>Targets_UW[[#This Row],[CANT (deg)]]-Targets_UW[[#This Row],[HEEL (deg)]]</calculatedColumnFormula>
    </tableColumn>
    <tableColumn id="13" xr3:uid="{99606369-DCE3-4A69-8A1E-FEBFF27BC09C}" name="RH LW (mm)" dataDxfId="20"/>
    <tableColumn id="14" xr3:uid="{46B6FB0E-949F-48A7-B6C1-E39E054EEFA4}" name="DIFF (deg)" dataDxfId="19"/>
    <tableColumn id="15" xr3:uid="{993526F9-D296-4F8F-9154-C8626CC0F6D2}" name="AVG (deg)" dataDxfId="18"/>
    <tableColumn id="16" xr3:uid="{428DE2D1-0A27-4EA4-821C-AACC97430D22}" name="PITCH (deg)" dataDxfId="17"/>
    <tableColumn id="17" xr3:uid="{1C398AC7-8D21-405D-917D-A63AF5968057}" name="CA1 (deg)" dataDxfId="16"/>
    <tableColumn id="18" xr3:uid="{6961102D-1166-48FD-AE75-228B6DEC6C0F}" name="ROT (deg)" dataDxfId="15">
      <calculatedColumnFormula>Targets_UW[[#This Row],[CLEW (deg)]]-0.5*Targets_UW[[#This Row],[CA1 (deg)]]</calculatedColumnFormula>
    </tableColumn>
    <tableColumn id="19" xr3:uid="{15870677-3329-4C1C-8212-38D8A83445DA}" name="CLEW (deg)" dataDxfId="14"/>
    <tableColumn id="20" xr3:uid="{F64F3528-B5F2-4E38-9892-CABC162623CE}" name="TWIST (deg)" dataDxfId="13"/>
    <tableColumn id="21" xr3:uid="{975B05E7-A6ED-43BC-ADA8-D72CB613728A}" name="CUNNO (kgf)" dataDxfId="12"/>
    <tableColumn id="22" xr3:uid="{45135489-48B0-47BF-B1AF-D053287C1C73}" name="JibLead (deg)" dataDxfId="11"/>
    <tableColumn id="23" xr3:uid="{BD3F64CD-3F2A-45F8-80EF-6FB1E562005F}" name="JibSheet (kgf)" dataDxfId="10"/>
    <tableColumn id="24" xr3:uid="{3D1F5C83-4076-474B-90B7-0132DC1D67D8}" name="AWS" dataDxfId="9">
      <calculatedColumnFormula>SQRT(Targets_UW[[#This Row],[TWS (km/h)]]^2+Targets_UW[[#This Row],[BSP (km/h)]]^2+2*Targets_UW[[#This Row],[TWS (km/h)]]*Targets_UW[[#This Row],[BSP (km/h)]]*COS(RADIANS(Targets_UW[[#This Row],[TWA (deg)]]+Targets_UW[[#This Row],[LEEWAY (deg)]])))</calculatedColumnFormula>
    </tableColumn>
    <tableColumn id="25" xr3:uid="{9B8CE275-802E-4206-8C9D-337E5B961E85}" name="AWA+Leeway" dataDxfId="8">
      <calculatedColumnFormula>DEGREES(ASIN(Targets_UW[[#This Row],[TWS (km/h)]]*SIN(RADIANS(Targets_UW[[#This Row],[TWA (deg)]]+Targets_UW[[#This Row],[LEEWAY (deg)]]))/Targets_UW[[#This Row],[AWS]]))</calculatedColumnFormula>
    </tableColumn>
    <tableColumn id="26" xr3:uid="{C3482BB1-3E79-4F93-89B4-272AC68F714D}" name="AWA-E1" dataDxfId="7">
      <calculatedColumnFormula>Targets_UW[[#This Row],[AWA+Leeway]]-Targets_UW[[#This Row],[ROT (deg)]]</calculatedColumnFormula>
    </tableColumn>
    <tableColumn id="27" xr3:uid="{19631DE7-CDD1-4D57-B734-890B7314E8D2}" name="TWSTop" dataDxfId="6">
      <calculatedColumnFormula>Targets_UW[[#This Row],[TWS (km/h)]]*(Targets_UW[[#This Row],[Wing]]/10)^0.1</calculatedColumnFormula>
    </tableColumn>
    <tableColumn id="28" xr3:uid="{A768D8B0-9B89-421B-8ECB-002B5749FF11}" name="AWSTop" dataDxfId="5">
      <calculatedColumnFormula>SQRT(Targets_UW[[#This Row],[TWSTop]]^2+Targets_UW[[#This Row],[BSP (km/h)]]^2+2*Targets_UW[[#This Row],[BSP (km/h)]]*Targets_UW[[#This Row],[TWSTop]]*COS(RADIANS(Targets_UW[[#This Row],[TWA (deg)]]+Targets_UW[[#This Row],[LEEWAY (deg)]])))</calculatedColumnFormula>
    </tableColumn>
    <tableColumn id="29" xr3:uid="{75D93D24-3FFC-430C-8D20-D8EEE4DC37CA}" name="AWA+Leeway Top" dataDxfId="4">
      <calculatedColumnFormula>DEGREES(ASIN(Targets_UW[[#This Row],[TWSTop]]*SIN(RADIANS(Targets_UW[[#This Row],[TWA (deg)]]+Targets_UW[[#This Row],[LEEWAY (deg)]]))/Targets_UW[[#This Row],[AWSTop]]))</calculatedColumnFormula>
    </tableColumn>
    <tableColumn id="30" xr3:uid="{7C170DD4-AC9E-4A5A-861E-07864FB7316A}" name="AWATop-E1" dataDxfId="3">
      <calculatedColumnFormula>Targets_UW[[#This Row],[AWA+Leeway Top]]-Targets_UW[[#This Row],[ROT (deg)]]</calculatedColumnFormula>
    </tableColumn>
    <tableColumn id="31" xr3:uid="{F7AE32DD-19BC-463A-B1CC-C3AE0121AB3B}" name="CA6" dataDxfId="2">
      <calculatedColumnFormula>Targets_UW[[#This Row],[CLEW (deg)]]+Targets_UW[[#This Row],[TWIST (deg)]]</calculatedColumnFormula>
    </tableColumn>
    <tableColumn id="32" xr3:uid="{2BDDF768-84F7-406E-92B8-B38CBFAB527B}" name="AWATop - CA6" dataDxfId="1">
      <calculatedColumnFormula>Targets_UW[[#This Row],[AWA+Leeway Top]]-Targets_UW[[#This Row],[CA6]]</calculatedColumnFormula>
    </tableColumn>
    <tableColumn id="34" xr3:uid="{0A040759-FD14-4F7E-A1B9-1C9B4EEACABD}" name="AWA-JibLead" dataDxfId="0">
      <calculatedColumnFormula>Targets_UW[[#This Row],[AWA+Leeway]]-Targets_UW[[#This Row],[JibLead (deg)]]</calculatedColumnFormula>
    </tableColumn>
  </tableColumns>
  <tableStyleInfo name="TableStyleMedium1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4B68B-FF83-447B-9D79-5724A21115BE}" name="Targets_DW" displayName="Targets_DW" ref="A1:AH83" totalsRowShown="0">
  <autoFilter ref="A1:AH83" xr:uid="{EF9ADB41-8FAE-4257-AF81-0501FB3EAE16}"/>
  <tableColumns count="34">
    <tableColumn id="1" xr3:uid="{D6FE3A8A-9CAC-4F44-91A9-FD99EDCB5605}" name="State"/>
    <tableColumn id="2" xr3:uid="{6EF91CED-E226-4C89-B6C8-E08090E89385}" name="Foil"/>
    <tableColumn id="3" xr3:uid="{35C39A49-7C02-4F68-967D-CD6AB7D34119}" name="Rudder"/>
    <tableColumn id="4" xr3:uid="{0B83AEBA-CF60-4A88-A768-F93E98CAD6FC}" name="Wing"/>
    <tableColumn id="33" xr3:uid="{674915D9-7A39-4905-9F65-901AE33B0F6C}" name="Config" dataDxfId="57">
      <calculatedColumnFormula>A2 &amp; "_" &amp; B2 &amp; "_" &amp; C2 &amp; "-" &amp; D2 &amp; "m"</calculatedColumnFormula>
    </tableColumn>
    <tableColumn id="5" xr3:uid="{1C9CC280-AD59-42EC-A494-E51A94002D27}" name="TWS (km/h)"/>
    <tableColumn id="6" xr3:uid="{3AE7E542-01B2-4DB8-8640-E5169DA73969}" name="VMG (km/h)" dataDxfId="56">
      <calculatedColumnFormula>ABS(Targets_DW[[#This Row],[BSP (km/h)]]*COS(RADIANS(Targets_DW[[#This Row],[TWA (deg)]]+Targets_DW[[#This Row],[LEEWAY (deg)]])))</calculatedColumnFormula>
    </tableColumn>
    <tableColumn id="7" xr3:uid="{FFEB2E6B-EB53-4518-BCB2-6BB0B7E497B8}" name="BSP (km/h)" dataDxfId="55"/>
    <tableColumn id="8" xr3:uid="{1C935145-A027-46AF-81A0-9B5B31519643}" name="TWA (deg)" dataDxfId="54"/>
    <tableColumn id="9" xr3:uid="{9438116F-FA49-49F6-8C20-A5D766BF0E37}" name="LEEWAY (deg)" dataDxfId="53"/>
    <tableColumn id="10" xr3:uid="{80171D40-9D97-49A2-A67E-8310087CB294}" name="CANT (deg)" dataDxfId="52"/>
    <tableColumn id="11" xr3:uid="{F0317F24-9CAB-4519-9490-251EC6B94808}" name="HEEL (deg)" dataDxfId="51"/>
    <tableColumn id="12" xr3:uid="{0F281FDB-83B0-4778-8A77-D6E8326A35B1}" name="EFF CANT (deg)" dataDxfId="50">
      <calculatedColumnFormula>Targets_DW[[#This Row],[CANT (deg)]]-Targets_DW[[#This Row],[HEEL (deg)]]</calculatedColumnFormula>
    </tableColumn>
    <tableColumn id="13" xr3:uid="{F0960F3F-318D-46B9-997A-61CE33AF7236}" name="RH LW (mm)" dataDxfId="49"/>
    <tableColumn id="14" xr3:uid="{09B4AF81-255B-41E4-A41B-38ECDCF453DB}" name="DIFF (deg)" dataDxfId="48"/>
    <tableColumn id="15" xr3:uid="{A9F021B5-2C5B-40C1-9AFB-FBB8CA7EEFEF}" name="AVG (deg)" dataDxfId="47"/>
    <tableColumn id="16" xr3:uid="{CC62C394-9EF4-40BD-A276-FA45EC7A7BCE}" name="PITCH (deg)" dataDxfId="46"/>
    <tableColumn id="17" xr3:uid="{68532909-16FF-4847-AAB7-C1A7EAF75447}" name="CA1 (deg)" dataDxfId="45"/>
    <tableColumn id="18" xr3:uid="{5D266586-8CC1-4914-9CBD-2769DD287047}" name="ROT (deg)" dataDxfId="44">
      <calculatedColumnFormula>Targets_DW[[#This Row],[CLEW (deg)]]-0.5*Targets_DW[[#This Row],[CA1 (deg)]]</calculatedColumnFormula>
    </tableColumn>
    <tableColumn id="19" xr3:uid="{7C86DEA2-0F14-4510-8B58-BE1079C162DC}" name="CLEW (deg)" dataDxfId="43"/>
    <tableColumn id="20" xr3:uid="{E94543F1-4FBD-4DA5-9C5B-80EB7AF9C778}" name="TWIST (deg)" dataDxfId="42"/>
    <tableColumn id="21" xr3:uid="{BCD9C508-8420-4C0A-9AD3-C25D63583C1F}" name="CUNNO (kgf)" dataDxfId="41"/>
    <tableColumn id="22" xr3:uid="{9B1C3E61-4653-4032-BC4A-E0EFFB8AABD2}" name="JibLead (deg)" dataDxfId="40"/>
    <tableColumn id="23" xr3:uid="{F1483798-0B3D-4A43-ACD1-6BFF985D7E93}" name="JibSheet (kgf)" dataDxfId="39"/>
    <tableColumn id="24" xr3:uid="{95D5AA95-4DE8-41EB-B57B-0973EC4700E8}" name="AWS" dataDxfId="38">
      <calculatedColumnFormula>SQRT(Targets_DW[[#This Row],[TWS (km/h)]]^2+Targets_DW[[#This Row],[BSP (km/h)]]^2+2*Targets_DW[[#This Row],[TWS (km/h)]]*Targets_DW[[#This Row],[BSP (km/h)]]*COS(RADIANS(Targets_DW[[#This Row],[TWA (deg)]]+Targets_DW[[#This Row],[LEEWAY (deg)]])))</calculatedColumnFormula>
    </tableColumn>
    <tableColumn id="25" xr3:uid="{77DB806F-3A86-44A4-972E-3F23D43935D4}" name="AWA+Leeway" dataDxfId="37">
      <calculatedColumnFormula>DEGREES(ASIN(Targets_DW[[#This Row],[TWS (km/h)]]*SIN(RADIANS(Targets_DW[[#This Row],[TWA (deg)]]+Targets_DW[[#This Row],[LEEWAY (deg)]]))/Targets_DW[[#This Row],[AWS]]))</calculatedColumnFormula>
    </tableColumn>
    <tableColumn id="26" xr3:uid="{51026D59-298A-41D2-A684-5507D347B4B1}" name="AWA-E1" dataDxfId="36">
      <calculatedColumnFormula>Targets_DW[[#This Row],[AWA+Leeway]]-Targets_DW[[#This Row],[ROT (deg)]]</calculatedColumnFormula>
    </tableColumn>
    <tableColumn id="27" xr3:uid="{35DBA3B8-DEB0-4EA9-9A4D-D1836BFB9E69}" name="TWSTop" dataDxfId="35">
      <calculatedColumnFormula>Targets_DW[[#This Row],[TWS (km/h)]]*(Targets_DW[[#This Row],[Wing]]/10)^0.1</calculatedColumnFormula>
    </tableColumn>
    <tableColumn id="28" xr3:uid="{B1C1C549-7AB9-4A02-904A-82DACCE1B165}" name="AWSTop" dataDxfId="34">
      <calculatedColumnFormula>SQRT(Targets_DW[[#This Row],[TWSTop]]^2+Targets_DW[[#This Row],[BSP (km/h)]]^2+2*Targets_DW[[#This Row],[BSP (km/h)]]*Targets_DW[[#This Row],[TWSTop]]*COS(RADIANS(Targets_DW[[#This Row],[TWA (deg)]]+Targets_DW[[#This Row],[LEEWAY (deg)]])))</calculatedColumnFormula>
    </tableColumn>
    <tableColumn id="29" xr3:uid="{69C545BF-3FEF-41BF-BC74-A01DFC576E6D}" name="AWA+Leeway Top" dataDxfId="33">
      <calculatedColumnFormula>DEGREES(ASIN(Targets_DW[[#This Row],[TWSTop]]*SIN(RADIANS(Targets_DW[[#This Row],[TWA (deg)]]+Targets_DW[[#This Row],[LEEWAY (deg)]]))/Targets_DW[[#This Row],[AWSTop]]))</calculatedColumnFormula>
    </tableColumn>
    <tableColumn id="30" xr3:uid="{5A79F423-D3B7-41E7-B538-631F95361BE7}" name="AWATop-E1" dataDxfId="32">
      <calculatedColumnFormula>Targets_DW[[#This Row],[AWA+Leeway Top]]-Targets_DW[[#This Row],[ROT (deg)]]</calculatedColumnFormula>
    </tableColumn>
    <tableColumn id="31" xr3:uid="{873F6FE7-56DD-484D-898D-03BD7C412F31}" name="CA6" dataDxfId="31">
      <calculatedColumnFormula>Targets_DW[[#This Row],[CLEW (deg)]]+Targets_DW[[#This Row],[TWIST (deg)]]</calculatedColumnFormula>
    </tableColumn>
    <tableColumn id="32" xr3:uid="{F904D21E-7298-4669-A7F8-04F9C9A22D2E}" name="AWATop - CA6" dataDxfId="30">
      <calculatedColumnFormula>Targets_DW[[#This Row],[AWA+Leeway Top]]-Targets_DW[[#This Row],[CA6]]</calculatedColumnFormula>
    </tableColumn>
    <tableColumn id="34" xr3:uid="{64DA2872-A550-40B1-8131-4D12B803DB85}" name="AWA-JibLead" dataDxfId="29">
      <calculatedColumnFormula>Targets_DW[[#This Row],[AWA+Leeway]]-Targets_DW[[#This Row],[JibLead (deg)]]</calculatedColumnFormula>
    </tableColumn>
  </tableColumns>
  <tableStyleInfo name="TableStyleMedium1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ED9-0229-4B64-8267-2B0946B104FB}">
  <sheetPr codeName="Sheet1"/>
  <dimension ref="A1:AH103"/>
  <sheetViews>
    <sheetView zoomScale="70" zoomScaleNormal="70" workbookViewId="0">
      <selection activeCell="T106" sqref="T106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10.42578125" bestFit="1" customWidth="1"/>
    <col min="4" max="4" width="8.28515625" bestFit="1" customWidth="1"/>
    <col min="5" max="5" width="25" bestFit="1" customWidth="1"/>
    <col min="6" max="6" width="13.5703125" bestFit="1" customWidth="1"/>
    <col min="7" max="7" width="13.85546875" bestFit="1" customWidth="1"/>
    <col min="8" max="8" width="13.28515625" bestFit="1" customWidth="1"/>
    <col min="9" max="9" width="12.28515625" bestFit="1" customWidth="1"/>
    <col min="10" max="10" width="15.7109375" bestFit="1" customWidth="1"/>
    <col min="11" max="11" width="13.28515625" bestFit="1" customWidth="1"/>
    <col min="12" max="12" width="13" bestFit="1" customWidth="1"/>
    <col min="13" max="13" width="16.5703125" bestFit="1" customWidth="1"/>
    <col min="14" max="14" width="14.140625" bestFit="1" customWidth="1"/>
    <col min="15" max="16" width="12.28515625" bestFit="1" customWidth="1"/>
    <col min="17" max="17" width="13.85546875" bestFit="1" customWidth="1"/>
    <col min="18" max="18" width="12.28515625" bestFit="1" customWidth="1"/>
    <col min="19" max="19" width="12.140625" bestFit="1" customWidth="1"/>
    <col min="20" max="20" width="13.5703125" bestFit="1" customWidth="1"/>
    <col min="21" max="21" width="13.85546875" bestFit="1" customWidth="1"/>
    <col min="22" max="22" width="14.42578125" bestFit="1" customWidth="1"/>
    <col min="23" max="23" width="15.140625" bestFit="1" customWidth="1"/>
    <col min="24" max="24" width="15.5703125" bestFit="1" customWidth="1"/>
    <col min="25" max="25" width="8" bestFit="1" customWidth="1"/>
    <col min="26" max="26" width="15.28515625" bestFit="1" customWidth="1"/>
    <col min="27" max="27" width="10.7109375" bestFit="1" customWidth="1"/>
    <col min="28" max="28" width="11" bestFit="1" customWidth="1"/>
    <col min="29" max="29" width="11.140625" bestFit="1" customWidth="1"/>
    <col min="30" max="30" width="19" bestFit="1" customWidth="1"/>
    <col min="31" max="31" width="13.85546875" bestFit="1" customWidth="1"/>
    <col min="32" max="32" width="7.7109375" bestFit="1" customWidth="1"/>
    <col min="33" max="33" width="15.7109375" bestFit="1" customWidth="1"/>
    <col min="34" max="34" width="15" bestFit="1" customWidth="1"/>
  </cols>
  <sheetData>
    <row r="1" spans="1:34" ht="15.75" thickBot="1" x14ac:dyDescent="0.3">
      <c r="A1" t="s">
        <v>22</v>
      </c>
      <c r="B1" t="s">
        <v>23</v>
      </c>
      <c r="C1" t="s">
        <v>24</v>
      </c>
      <c r="D1" t="s">
        <v>25</v>
      </c>
      <c r="E1" t="s">
        <v>35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19</v>
      </c>
      <c r="Y1" t="s">
        <v>20</v>
      </c>
      <c r="Z1" t="s">
        <v>27</v>
      </c>
      <c r="AA1" t="s">
        <v>18</v>
      </c>
      <c r="AB1" t="s">
        <v>26</v>
      </c>
      <c r="AC1" t="s">
        <v>28</v>
      </c>
      <c r="AD1" t="s">
        <v>29</v>
      </c>
      <c r="AE1" t="s">
        <v>30</v>
      </c>
      <c r="AF1" t="s">
        <v>21</v>
      </c>
      <c r="AG1" t="s">
        <v>31</v>
      </c>
      <c r="AH1" t="s">
        <v>39</v>
      </c>
    </row>
    <row r="2" spans="1:34" x14ac:dyDescent="0.25">
      <c r="A2" s="2" t="s">
        <v>32</v>
      </c>
      <c r="B2" s="3" t="s">
        <v>33</v>
      </c>
      <c r="C2" s="3" t="s">
        <v>34</v>
      </c>
      <c r="D2" s="3">
        <v>24</v>
      </c>
      <c r="E2" s="3" t="str">
        <f t="shared" ref="E2:E37" si="0">A2 &amp; "_" &amp; B2 &amp; "_" &amp; C2 &amp; "-" &amp; D2 &amp; "m"</f>
        <v>Foiling_HSB2_HSRW2-24m</v>
      </c>
      <c r="F2" s="3">
        <v>14</v>
      </c>
      <c r="G2" s="4">
        <f>ABS(Targets_UW[[#This Row],[BSP (km/h)]]*COS(RADIANS(Targets_UW[[#This Row],[TWA (deg)]]+Targets_UW[[#This Row],[LEEWAY (deg)]])))</f>
        <v>13.68148774164707</v>
      </c>
      <c r="H2" s="4">
        <v>45</v>
      </c>
      <c r="I2" s="4">
        <v>70</v>
      </c>
      <c r="J2" s="4">
        <v>2.2999999999999998</v>
      </c>
      <c r="K2" s="4">
        <v>4</v>
      </c>
      <c r="L2" s="4">
        <v>3</v>
      </c>
      <c r="M2" s="4">
        <f>Targets_UW[[#This Row],[CANT (deg)]]-Targets_UW[[#This Row],[HEEL (deg)]]</f>
        <v>1</v>
      </c>
      <c r="N2" s="4">
        <v>1180</v>
      </c>
      <c r="O2" s="4">
        <v>1.63</v>
      </c>
      <c r="P2" s="4">
        <v>5.5</v>
      </c>
      <c r="Q2" s="4">
        <v>-3.2</v>
      </c>
      <c r="R2" s="4">
        <v>-19</v>
      </c>
      <c r="S2" s="4">
        <f>Targets_UW[[#This Row],[CLEW (deg)]]-0.5*Targets_UW[[#This Row],[CA1 (deg)]]</f>
        <v>8</v>
      </c>
      <c r="T2" s="4">
        <v>-1.5</v>
      </c>
      <c r="U2" s="4">
        <v>23</v>
      </c>
      <c r="V2" s="4">
        <v>500</v>
      </c>
      <c r="W2" s="4">
        <v>5.5</v>
      </c>
      <c r="X2" s="4">
        <v>450</v>
      </c>
      <c r="Y2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51.030203377667597</v>
      </c>
      <c r="Z2" s="4">
        <f>DEGREES(ASIN(Targets_UW[[#This Row],[TWS (km/h)]]*SIN(RADIANS(Targets_UW[[#This Row],[TWA (deg)]]+Targets_UW[[#This Row],[LEEWAY (deg)]]))/Targets_UW[[#This Row],[AWS]]))</f>
        <v>15.150782929837137</v>
      </c>
      <c r="AA2" s="4">
        <f>Targets_UW[[#This Row],[AWA+Leeway]]-Targets_UW[[#This Row],[ROT (deg)]]</f>
        <v>7.1507829298371366</v>
      </c>
      <c r="AB2" s="4">
        <f>Targets_UW[[#This Row],[TWS (km/h)]]*(Targets_UW[[#This Row],[Wing]]/10)^0.1</f>
        <v>15.280907958650557</v>
      </c>
      <c r="AC2" s="4">
        <f>SQRT(Targets_UW[[#This Row],[TWSTop]]^2+Targets_UW[[#This Row],[BSP (km/h)]]^2+2*Targets_UW[[#This Row],[BSP (km/h)]]*Targets_UW[[#This Row],[TWSTop]]*COS(RADIANS(Targets_UW[[#This Row],[TWA (deg)]]+Targets_UW[[#This Row],[LEEWAY (deg)]])))</f>
        <v>51.736227712075987</v>
      </c>
      <c r="AD2" s="4">
        <f>DEGREES(ASIN(Targets_UW[[#This Row],[TWSTop]]*SIN(RADIANS(Targets_UW[[#This Row],[TWA (deg)]]+Targets_UW[[#This Row],[LEEWAY (deg)]]))/Targets_UW[[#This Row],[AWSTop]]))</f>
        <v>16.34257621884765</v>
      </c>
      <c r="AE2" s="4">
        <f>Targets_UW[[#This Row],[AWA+Leeway Top]]-Targets_UW[[#This Row],[ROT (deg)]]</f>
        <v>8.3425762188476504</v>
      </c>
      <c r="AF2" s="4">
        <f>Targets_UW[[#This Row],[CLEW (deg)]]+Targets_UW[[#This Row],[TWIST (deg)]]</f>
        <v>21.5</v>
      </c>
      <c r="AG2" s="5">
        <f>Targets_UW[[#This Row],[AWA+Leeway Top]]-Targets_UW[[#This Row],[CA6]]</f>
        <v>-5.1574237811523496</v>
      </c>
      <c r="AH2" s="1">
        <f>Targets_UW[[#This Row],[AWA+Leeway]]-Targets_UW[[#This Row],[JibLead (deg)]]</f>
        <v>9.6507829298371366</v>
      </c>
    </row>
    <row r="3" spans="1:34" x14ac:dyDescent="0.25">
      <c r="A3" s="6" t="s">
        <v>32</v>
      </c>
      <c r="B3" t="s">
        <v>33</v>
      </c>
      <c r="C3" t="s">
        <v>34</v>
      </c>
      <c r="D3">
        <v>24</v>
      </c>
      <c r="E3" t="str">
        <f t="shared" si="0"/>
        <v>Foiling_HSB2_HSRW2-24m</v>
      </c>
      <c r="F3">
        <v>16</v>
      </c>
      <c r="G3" s="1">
        <f>ABS(Targets_UW[[#This Row],[BSP (km/h)]]*COS(RADIANS(Targets_UW[[#This Row],[TWA (deg)]]+Targets_UW[[#This Row],[LEEWAY (deg)]])))</f>
        <v>19.061421073633134</v>
      </c>
      <c r="H3" s="1">
        <v>46.5</v>
      </c>
      <c r="I3" s="1">
        <v>63.5</v>
      </c>
      <c r="J3" s="1">
        <v>2.2999999999999998</v>
      </c>
      <c r="K3" s="1">
        <v>2</v>
      </c>
      <c r="L3" s="1">
        <v>3</v>
      </c>
      <c r="M3" s="1">
        <f>Targets_UW[[#This Row],[CANT (deg)]]-Targets_UW[[#This Row],[HEEL (deg)]]</f>
        <v>-1</v>
      </c>
      <c r="N3" s="1">
        <v>1175</v>
      </c>
      <c r="O3" s="1">
        <v>1.56</v>
      </c>
      <c r="P3" s="1">
        <v>5.55</v>
      </c>
      <c r="Q3" s="1">
        <v>-3.2</v>
      </c>
      <c r="R3" s="1">
        <v>-19</v>
      </c>
      <c r="S3" s="1">
        <f>Targets_UW[[#This Row],[CLEW (deg)]]-0.5*Targets_UW[[#This Row],[CA1 (deg)]]</f>
        <v>8.6999999999999993</v>
      </c>
      <c r="T3" s="1">
        <v>-0.8</v>
      </c>
      <c r="U3" s="1">
        <v>24</v>
      </c>
      <c r="V3" s="1">
        <v>800</v>
      </c>
      <c r="W3" s="1">
        <v>5.5</v>
      </c>
      <c r="X3" s="1">
        <v>600</v>
      </c>
      <c r="Y3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55.02922382113217</v>
      </c>
      <c r="Z3" s="1">
        <f>DEGREES(ASIN(Targets_UW[[#This Row],[TWS (km/h)]]*SIN(RADIANS(Targets_UW[[#This Row],[TWA (deg)]]+Targets_UW[[#This Row],[LEEWAY (deg)]]))/Targets_UW[[#This Row],[AWS]]))</f>
        <v>15.379022577933611</v>
      </c>
      <c r="AA3" s="1">
        <f>Targets_UW[[#This Row],[AWA+Leeway]]-Targets_UW[[#This Row],[ROT (deg)]]</f>
        <v>6.6790225779336119</v>
      </c>
      <c r="AB3" s="1">
        <f>Targets_UW[[#This Row],[TWS (km/h)]]*(Targets_UW[[#This Row],[Wing]]/10)^0.1</f>
        <v>17.463894809886352</v>
      </c>
      <c r="AC3" s="1">
        <f>SQRT(Targets_UW[[#This Row],[TWSTop]]^2+Targets_UW[[#This Row],[BSP (km/h)]]^2+2*Targets_UW[[#This Row],[BSP (km/h)]]*Targets_UW[[#This Row],[TWSTop]]*COS(RADIANS(Targets_UW[[#This Row],[TWA (deg)]]+Targets_UW[[#This Row],[LEEWAY (deg)]])))</f>
        <v>55.973305486138081</v>
      </c>
      <c r="AD3" s="1">
        <f>DEGREES(ASIN(Targets_UW[[#This Row],[TWSTop]]*SIN(RADIANS(Targets_UW[[#This Row],[TWA (deg)]]+Targets_UW[[#This Row],[LEEWAY (deg)]]))/Targets_UW[[#This Row],[AWSTop]]))</f>
        <v>16.534050714805073</v>
      </c>
      <c r="AE3" s="1">
        <f>Targets_UW[[#This Row],[AWA+Leeway Top]]-Targets_UW[[#This Row],[ROT (deg)]]</f>
        <v>7.8340507148050733</v>
      </c>
      <c r="AF3" s="1">
        <f>Targets_UW[[#This Row],[CLEW (deg)]]+Targets_UW[[#This Row],[TWIST (deg)]]</f>
        <v>23.2</v>
      </c>
      <c r="AG3" s="7">
        <f>Targets_UW[[#This Row],[AWA+Leeway Top]]-Targets_UW[[#This Row],[CA6]]</f>
        <v>-6.6659492851949267</v>
      </c>
      <c r="AH3" s="1">
        <f>Targets_UW[[#This Row],[AWA+Leeway]]-Targets_UW[[#This Row],[JibLead (deg)]]</f>
        <v>9.8790225779336112</v>
      </c>
    </row>
    <row r="4" spans="1:34" x14ac:dyDescent="0.25">
      <c r="A4" s="6" t="s">
        <v>32</v>
      </c>
      <c r="B4" t="s">
        <v>33</v>
      </c>
      <c r="C4" t="s">
        <v>34</v>
      </c>
      <c r="D4">
        <v>24</v>
      </c>
      <c r="E4" t="str">
        <f t="shared" si="0"/>
        <v>Foiling_HSB2_HSRW2-24m</v>
      </c>
      <c r="F4">
        <v>18</v>
      </c>
      <c r="G4" s="1">
        <f>ABS(Targets_UW[[#This Row],[BSP (km/h)]]*COS(RADIANS(Targets_UW[[#This Row],[TWA (deg)]]+Targets_UW[[#This Row],[LEEWAY (deg)]])))</f>
        <v>23.830433640751036</v>
      </c>
      <c r="H4" s="1">
        <v>49</v>
      </c>
      <c r="I4" s="1">
        <v>58.7</v>
      </c>
      <c r="J4" s="1">
        <v>2.2000000000000002</v>
      </c>
      <c r="K4" s="1">
        <v>0</v>
      </c>
      <c r="L4" s="1">
        <v>3</v>
      </c>
      <c r="M4" s="1">
        <f>Targets_UW[[#This Row],[CANT (deg)]]-Targets_UW[[#This Row],[HEEL (deg)]]</f>
        <v>-3</v>
      </c>
      <c r="N4" s="1">
        <v>1170</v>
      </c>
      <c r="O4" s="1">
        <v>1.46</v>
      </c>
      <c r="P4" s="1">
        <v>5.6000000000000005</v>
      </c>
      <c r="Q4" s="1">
        <v>-3.2</v>
      </c>
      <c r="R4" s="1">
        <v>-18.526951760000099</v>
      </c>
      <c r="S4" s="1">
        <f>Targets_UW[[#This Row],[CLEW (deg)]]-0.5*Targets_UW[[#This Row],[CA1 (deg)]]</f>
        <v>8.7634758800000494</v>
      </c>
      <c r="T4" s="1">
        <v>-0.5</v>
      </c>
      <c r="U4" s="1">
        <v>25.5</v>
      </c>
      <c r="V4" s="1">
        <v>1120</v>
      </c>
      <c r="W4" s="1">
        <v>5.5</v>
      </c>
      <c r="X4" s="1">
        <v>800</v>
      </c>
      <c r="Y4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59.857293716530798</v>
      </c>
      <c r="Z4" s="1">
        <f>DEGREES(ASIN(Targets_UW[[#This Row],[TWS (km/h)]]*SIN(RADIANS(Targets_UW[[#This Row],[TWA (deg)]]+Targets_UW[[#This Row],[LEEWAY (deg)]]))/Targets_UW[[#This Row],[AWS]]))</f>
        <v>15.23369314087325</v>
      </c>
      <c r="AA4" s="1">
        <f>Targets_UW[[#This Row],[AWA+Leeway]]-Targets_UW[[#This Row],[ROT (deg)]]</f>
        <v>6.4702172608732003</v>
      </c>
      <c r="AB4" s="1">
        <f>Targets_UW[[#This Row],[TWS (km/h)]]*(Targets_UW[[#This Row],[Wing]]/10)^0.1</f>
        <v>19.646881661122144</v>
      </c>
      <c r="AC4" s="1">
        <f>SQRT(Targets_UW[[#This Row],[TWSTop]]^2+Targets_UW[[#This Row],[BSP (km/h)]]^2+2*Targets_UW[[#This Row],[BSP (km/h)]]*Targets_UW[[#This Row],[TWSTop]]*COS(RADIANS(Targets_UW[[#This Row],[TWA (deg)]]+Targets_UW[[#This Row],[LEEWAY (deg)]])))</f>
        <v>61.019565537229589</v>
      </c>
      <c r="AD4" s="1">
        <f>DEGREES(ASIN(Targets_UW[[#This Row],[TWSTop]]*SIN(RADIANS(Targets_UW[[#This Row],[TWA (deg)]]+Targets_UW[[#This Row],[LEEWAY (deg)]]))/Targets_UW[[#This Row],[AWSTop]]))</f>
        <v>16.339858697034902</v>
      </c>
      <c r="AE4" s="1">
        <f>Targets_UW[[#This Row],[AWA+Leeway Top]]-Targets_UW[[#This Row],[ROT (deg)]]</f>
        <v>7.5763828170348528</v>
      </c>
      <c r="AF4" s="1">
        <f>Targets_UW[[#This Row],[CLEW (deg)]]+Targets_UW[[#This Row],[TWIST (deg)]]</f>
        <v>25</v>
      </c>
      <c r="AG4" s="7">
        <f>Targets_UW[[#This Row],[AWA+Leeway Top]]-Targets_UW[[#This Row],[CA6]]</f>
        <v>-8.6601413029650978</v>
      </c>
      <c r="AH4" s="1">
        <f>Targets_UW[[#This Row],[AWA+Leeway]]-Targets_UW[[#This Row],[JibLead (deg)]]</f>
        <v>9.7336931408732497</v>
      </c>
    </row>
    <row r="5" spans="1:34" x14ac:dyDescent="0.25">
      <c r="A5" s="6" t="s">
        <v>32</v>
      </c>
      <c r="B5" t="s">
        <v>33</v>
      </c>
      <c r="C5" t="s">
        <v>34</v>
      </c>
      <c r="D5">
        <v>24</v>
      </c>
      <c r="E5" t="str">
        <f t="shared" si="0"/>
        <v>Foiling_HSB2_HSRW2-24m</v>
      </c>
      <c r="F5">
        <v>20</v>
      </c>
      <c r="G5" s="1">
        <f>ABS(Targets_UW[[#This Row],[BSP (km/h)]]*COS(RADIANS(Targets_UW[[#This Row],[TWA (deg)]]+Targets_UW[[#This Row],[LEEWAY (deg)]])))</f>
        <v>28.368854280241148</v>
      </c>
      <c r="H5" s="1">
        <v>51.534689979999897</v>
      </c>
      <c r="I5" s="1">
        <v>54.6</v>
      </c>
      <c r="J5" s="1">
        <v>2</v>
      </c>
      <c r="K5" s="1">
        <v>-2</v>
      </c>
      <c r="L5" s="1">
        <v>3</v>
      </c>
      <c r="M5" s="1">
        <f>Targets_UW[[#This Row],[CANT (deg)]]-Targets_UW[[#This Row],[HEEL (deg)]]</f>
        <v>-5</v>
      </c>
      <c r="N5" s="1">
        <v>1165</v>
      </c>
      <c r="O5" s="1">
        <v>1.35</v>
      </c>
      <c r="P5" s="1">
        <v>5.46</v>
      </c>
      <c r="Q5" s="1">
        <v>-3.4</v>
      </c>
      <c r="R5" s="1">
        <v>-17.932664999999901</v>
      </c>
      <c r="S5" s="1">
        <f>Targets_UW[[#This Row],[CLEW (deg)]]-0.5*Targets_UW[[#This Row],[CA1 (deg)]]</f>
        <v>8.7163324999999503</v>
      </c>
      <c r="T5" s="1">
        <v>-0.25</v>
      </c>
      <c r="U5" s="1">
        <v>27</v>
      </c>
      <c r="V5" s="1">
        <v>1350</v>
      </c>
      <c r="W5" s="1">
        <v>5.5</v>
      </c>
      <c r="X5" s="1">
        <v>1000</v>
      </c>
      <c r="Y5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64.734677279989185</v>
      </c>
      <c r="Z5" s="1">
        <f>DEGREES(ASIN(Targets_UW[[#This Row],[TWS (km/h)]]*SIN(RADIANS(Targets_UW[[#This Row],[TWA (deg)]]+Targets_UW[[#This Row],[LEEWAY (deg)]]))/Targets_UW[[#This Row],[AWS]]))</f>
        <v>14.94721787024225</v>
      </c>
      <c r="AA5" s="1">
        <f>Targets_UW[[#This Row],[AWA+Leeway]]-Targets_UW[[#This Row],[ROT (deg)]]</f>
        <v>6.2308853702422997</v>
      </c>
      <c r="AB5" s="1">
        <f>Targets_UW[[#This Row],[TWS (km/h)]]*(Targets_UW[[#This Row],[Wing]]/10)^0.1</f>
        <v>21.82986851235794</v>
      </c>
      <c r="AC5" s="1">
        <f>SQRT(Targets_UW[[#This Row],[TWSTop]]^2+Targets_UW[[#This Row],[BSP (km/h)]]^2+2*Targets_UW[[#This Row],[BSP (km/h)]]*Targets_UW[[#This Row],[TWSTop]]*COS(RADIANS(Targets_UW[[#This Row],[TWA (deg)]]+Targets_UW[[#This Row],[LEEWAY (deg)]])))</f>
        <v>66.113116309620082</v>
      </c>
      <c r="AD5" s="1">
        <f>DEGREES(ASIN(Targets_UW[[#This Row],[TWSTop]]*SIN(RADIANS(Targets_UW[[#This Row],[TWA (deg)]]+Targets_UW[[#This Row],[LEEWAY (deg)]]))/Targets_UW[[#This Row],[AWSTop]]))</f>
        <v>16.001239211085277</v>
      </c>
      <c r="AE5" s="1">
        <f>Targets_UW[[#This Row],[AWA+Leeway Top]]-Targets_UW[[#This Row],[ROT (deg)]]</f>
        <v>7.2849067110853269</v>
      </c>
      <c r="AF5" s="1">
        <f>Targets_UW[[#This Row],[CLEW (deg)]]+Targets_UW[[#This Row],[TWIST (deg)]]</f>
        <v>26.75</v>
      </c>
      <c r="AG5" s="7">
        <f>Targets_UW[[#This Row],[AWA+Leeway Top]]-Targets_UW[[#This Row],[CA6]]</f>
        <v>-10.748760788914723</v>
      </c>
      <c r="AH5" s="1">
        <f>Targets_UW[[#This Row],[AWA+Leeway]]-Targets_UW[[#This Row],[JibLead (deg)]]</f>
        <v>9.44721787024225</v>
      </c>
    </row>
    <row r="6" spans="1:34" x14ac:dyDescent="0.25">
      <c r="A6" s="6" t="s">
        <v>32</v>
      </c>
      <c r="B6" t="s">
        <v>33</v>
      </c>
      <c r="C6" t="s">
        <v>34</v>
      </c>
      <c r="D6">
        <v>24</v>
      </c>
      <c r="E6" t="str">
        <f t="shared" si="0"/>
        <v>Foiling_HSB2_HSRW2-24m</v>
      </c>
      <c r="F6">
        <v>22</v>
      </c>
      <c r="G6" s="1">
        <f>ABS(Targets_UW[[#This Row],[BSP (km/h)]]*COS(RADIANS(Targets_UW[[#This Row],[TWA (deg)]]+Targets_UW[[#This Row],[LEEWAY (deg)]])))</f>
        <v>31.201791200430712</v>
      </c>
      <c r="H6" s="1">
        <v>53.6</v>
      </c>
      <c r="I6" s="1">
        <v>52.6</v>
      </c>
      <c r="J6" s="1">
        <v>1.8</v>
      </c>
      <c r="K6" s="1">
        <v>-4</v>
      </c>
      <c r="L6" s="1">
        <v>2.7</v>
      </c>
      <c r="M6" s="1">
        <f>Targets_UW[[#This Row],[CANT (deg)]]-Targets_UW[[#This Row],[HEEL (deg)]]</f>
        <v>-6.7</v>
      </c>
      <c r="N6" s="1">
        <v>1160</v>
      </c>
      <c r="O6" s="1">
        <v>1.26</v>
      </c>
      <c r="P6" s="1">
        <v>5.31</v>
      </c>
      <c r="Q6" s="1">
        <v>-3.5</v>
      </c>
      <c r="R6" s="1">
        <v>-17.465052960000001</v>
      </c>
      <c r="S6" s="1">
        <f>Targets_UW[[#This Row],[CLEW (deg)]]-0.5*Targets_UW[[#This Row],[CA1 (deg)]]</f>
        <v>8.6825264799999999</v>
      </c>
      <c r="T6" s="1">
        <v>-0.05</v>
      </c>
      <c r="U6" s="1">
        <v>28</v>
      </c>
      <c r="V6" s="1">
        <v>1575</v>
      </c>
      <c r="W6" s="1">
        <v>5.5</v>
      </c>
      <c r="X6" s="1">
        <v>1200</v>
      </c>
      <c r="Y6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68.773823601854161</v>
      </c>
      <c r="Z6" s="1">
        <f>DEGREES(ASIN(Targets_UW[[#This Row],[TWS (km/h)]]*SIN(RADIANS(Targets_UW[[#This Row],[TWA (deg)]]+Targets_UW[[#This Row],[LEEWAY (deg)]]))/Targets_UW[[#This Row],[AWS]]))</f>
        <v>15.076121171374869</v>
      </c>
      <c r="AA6" s="1">
        <f>Targets_UW[[#This Row],[AWA+Leeway]]-Targets_UW[[#This Row],[ROT (deg)]]</f>
        <v>6.3935946913748687</v>
      </c>
      <c r="AB6" s="1">
        <f>Targets_UW[[#This Row],[TWS (km/h)]]*(Targets_UW[[#This Row],[Wing]]/10)^0.1</f>
        <v>24.012855363593733</v>
      </c>
      <c r="AC6" s="1">
        <f>SQRT(Targets_UW[[#This Row],[TWSTop]]^2+Targets_UW[[#This Row],[BSP (km/h)]]^2+2*Targets_UW[[#This Row],[BSP (km/h)]]*Targets_UW[[#This Row],[TWSTop]]*COS(RADIANS(Targets_UW[[#This Row],[TWA (deg)]]+Targets_UW[[#This Row],[LEEWAY (deg)]])))</f>
        <v>70.342486600026177</v>
      </c>
      <c r="AD6" s="1">
        <f>DEGREES(ASIN(Targets_UW[[#This Row],[TWSTop]]*SIN(RADIANS(Targets_UW[[#This Row],[TWA (deg)]]+Targets_UW[[#This Row],[LEEWAY (deg)]]))/Targets_UW[[#This Row],[AWSTop]]))</f>
        <v>16.115149230245851</v>
      </c>
      <c r="AE6" s="1">
        <f>Targets_UW[[#This Row],[AWA+Leeway Top]]-Targets_UW[[#This Row],[ROT (deg)]]</f>
        <v>7.4326227502458515</v>
      </c>
      <c r="AF6" s="1">
        <f>Targets_UW[[#This Row],[CLEW (deg)]]+Targets_UW[[#This Row],[TWIST (deg)]]</f>
        <v>27.95</v>
      </c>
      <c r="AG6" s="7">
        <f>Targets_UW[[#This Row],[AWA+Leeway Top]]-Targets_UW[[#This Row],[CA6]]</f>
        <v>-11.834850769754148</v>
      </c>
      <c r="AH6" s="1">
        <f>Targets_UW[[#This Row],[AWA+Leeway]]-Targets_UW[[#This Row],[JibLead (deg)]]</f>
        <v>9.5761211713748686</v>
      </c>
    </row>
    <row r="7" spans="1:34" x14ac:dyDescent="0.25">
      <c r="A7" s="6" t="s">
        <v>32</v>
      </c>
      <c r="B7" t="s">
        <v>33</v>
      </c>
      <c r="C7" t="s">
        <v>34</v>
      </c>
      <c r="D7">
        <v>24</v>
      </c>
      <c r="E7" t="str">
        <f t="shared" si="0"/>
        <v>Foiling_HSB2_HSRW2-24m</v>
      </c>
      <c r="F7">
        <v>24</v>
      </c>
      <c r="G7" s="1">
        <f>ABS(Targets_UW[[#This Row],[BSP (km/h)]]*COS(RADIANS(Targets_UW[[#This Row],[TWA (deg)]]+Targets_UW[[#This Row],[LEEWAY (deg)]])))</f>
        <v>34.037131677630306</v>
      </c>
      <c r="H7" s="1">
        <v>55.785301091295899</v>
      </c>
      <c r="I7" s="1">
        <v>50.9</v>
      </c>
      <c r="J7" s="1">
        <v>1.5</v>
      </c>
      <c r="K7" s="1">
        <v>-6.5</v>
      </c>
      <c r="L7" s="1">
        <v>2.4</v>
      </c>
      <c r="M7" s="1">
        <f>Targets_UW[[#This Row],[CANT (deg)]]-Targets_UW[[#This Row],[HEEL (deg)]]</f>
        <v>-8.9</v>
      </c>
      <c r="N7" s="1">
        <v>1150</v>
      </c>
      <c r="O7" s="1">
        <v>1.17</v>
      </c>
      <c r="P7" s="1">
        <v>5.1000000000000005</v>
      </c>
      <c r="Q7" s="1">
        <v>-3.5</v>
      </c>
      <c r="R7" s="1">
        <v>-17.124115640000099</v>
      </c>
      <c r="S7" s="1">
        <f>Targets_UW[[#This Row],[CLEW (deg)]]-0.5*Targets_UW[[#This Row],[CA1 (deg)]]</f>
        <v>8.7120578200000498</v>
      </c>
      <c r="T7" s="1">
        <v>0.15</v>
      </c>
      <c r="U7" s="1">
        <v>29</v>
      </c>
      <c r="V7" s="1">
        <v>1710</v>
      </c>
      <c r="W7" s="1">
        <v>5.5</v>
      </c>
      <c r="X7" s="1">
        <v>1380</v>
      </c>
      <c r="Y7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72.950545840129223</v>
      </c>
      <c r="Z7" s="1">
        <f>DEGREES(ASIN(Targets_UW[[#This Row],[TWS (km/h)]]*SIN(RADIANS(Targets_UW[[#This Row],[TWA (deg)]]+Targets_UW[[#This Row],[LEEWAY (deg)]]))/Targets_UW[[#This Row],[AWS]]))</f>
        <v>15.108952962997993</v>
      </c>
      <c r="AA7" s="1">
        <f>Targets_UW[[#This Row],[AWA+Leeway]]-Targets_UW[[#This Row],[ROT (deg)]]</f>
        <v>6.396895142997943</v>
      </c>
      <c r="AB7" s="1">
        <f>Targets_UW[[#This Row],[TWS (km/h)]]*(Targets_UW[[#This Row],[Wing]]/10)^0.1</f>
        <v>26.195842214829526</v>
      </c>
      <c r="AC7" s="1">
        <f>SQRT(Targets_UW[[#This Row],[TWSTop]]^2+Targets_UW[[#This Row],[BSP (km/h)]]^2+2*Targets_UW[[#This Row],[BSP (km/h)]]*Targets_UW[[#This Row],[TWSTop]]*COS(RADIANS(Targets_UW[[#This Row],[TWA (deg)]]+Targets_UW[[#This Row],[LEEWAY (deg)]])))</f>
        <v>74.709334282510795</v>
      </c>
      <c r="AD7" s="1">
        <f>DEGREES(ASIN(Targets_UW[[#This Row],[TWSTop]]*SIN(RADIANS(Targets_UW[[#This Row],[TWA (deg)]]+Targets_UW[[#This Row],[LEEWAY (deg)]]))/Targets_UW[[#This Row],[AWSTop]]))</f>
        <v>16.129298022765635</v>
      </c>
      <c r="AE7" s="1">
        <f>Targets_UW[[#This Row],[AWA+Leeway Top]]-Targets_UW[[#This Row],[ROT (deg)]]</f>
        <v>7.4172402027655853</v>
      </c>
      <c r="AF7" s="1">
        <f>Targets_UW[[#This Row],[CLEW (deg)]]+Targets_UW[[#This Row],[TWIST (deg)]]</f>
        <v>29.15</v>
      </c>
      <c r="AG7" s="7">
        <f>Targets_UW[[#This Row],[AWA+Leeway Top]]-Targets_UW[[#This Row],[CA6]]</f>
        <v>-13.020701977234364</v>
      </c>
      <c r="AH7" s="1">
        <f>Targets_UW[[#This Row],[AWA+Leeway]]-Targets_UW[[#This Row],[JibLead (deg)]]</f>
        <v>9.6089529629979928</v>
      </c>
    </row>
    <row r="8" spans="1:34" x14ac:dyDescent="0.25">
      <c r="A8" s="6" t="s">
        <v>32</v>
      </c>
      <c r="B8" t="s">
        <v>33</v>
      </c>
      <c r="C8" t="s">
        <v>34</v>
      </c>
      <c r="D8">
        <v>24</v>
      </c>
      <c r="E8" t="str">
        <f t="shared" si="0"/>
        <v>Foiling_HSB2_HSRW2-24m</v>
      </c>
      <c r="F8">
        <v>26</v>
      </c>
      <c r="G8" s="1">
        <f>ABS(Targets_UW[[#This Row],[BSP (km/h)]]*COS(RADIANS(Targets_UW[[#This Row],[TWA (deg)]]+Targets_UW[[#This Row],[LEEWAY (deg)]])))</f>
        <v>36.262321784712007</v>
      </c>
      <c r="H8" s="1">
        <v>57.374431267375897</v>
      </c>
      <c r="I8" s="1">
        <v>49.5</v>
      </c>
      <c r="J8" s="1">
        <v>1.3</v>
      </c>
      <c r="K8" s="1">
        <v>-9</v>
      </c>
      <c r="L8" s="1">
        <v>2.1</v>
      </c>
      <c r="M8" s="1">
        <f>Targets_UW[[#This Row],[CANT (deg)]]-Targets_UW[[#This Row],[HEEL (deg)]]</f>
        <v>-11.1</v>
      </c>
      <c r="N8" s="1">
        <v>1135</v>
      </c>
      <c r="O8" s="1">
        <v>1.1200000000000001</v>
      </c>
      <c r="P8" s="1">
        <v>4.8999999999999995</v>
      </c>
      <c r="Q8" s="1">
        <v>-3.5</v>
      </c>
      <c r="R8" s="1">
        <v>-16.8</v>
      </c>
      <c r="S8" s="1">
        <f>Targets_UW[[#This Row],[CLEW (deg)]]-0.5*Targets_UW[[#This Row],[CA1 (deg)]]</f>
        <v>8.65</v>
      </c>
      <c r="T8" s="1">
        <v>0.25</v>
      </c>
      <c r="U8" s="1">
        <v>30</v>
      </c>
      <c r="V8" s="1">
        <v>1800</v>
      </c>
      <c r="W8" s="1">
        <v>5.5</v>
      </c>
      <c r="X8" s="1">
        <v>1500</v>
      </c>
      <c r="Y8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76.507947927387676</v>
      </c>
      <c r="Z8" s="1">
        <f>DEGREES(ASIN(Targets_UW[[#This Row],[TWS (km/h)]]*SIN(RADIANS(Targets_UW[[#This Row],[TWA (deg)]]+Targets_UW[[#This Row],[LEEWAY (deg)]]))/Targets_UW[[#This Row],[AWS]]))</f>
        <v>15.26907897861976</v>
      </c>
      <c r="AA8" s="1">
        <f>Targets_UW[[#This Row],[AWA+Leeway]]-Targets_UW[[#This Row],[ROT (deg)]]</f>
        <v>6.6190789786197595</v>
      </c>
      <c r="AB8" s="1">
        <f>Targets_UW[[#This Row],[TWS (km/h)]]*(Targets_UW[[#This Row],[Wing]]/10)^0.1</f>
        <v>28.378829066065322</v>
      </c>
      <c r="AC8" s="1">
        <f>SQRT(Targets_UW[[#This Row],[TWSTop]]^2+Targets_UW[[#This Row],[BSP (km/h)]]^2+2*Targets_UW[[#This Row],[BSP (km/h)]]*Targets_UW[[#This Row],[TWSTop]]*COS(RADIANS(Targets_UW[[#This Row],[TWA (deg)]]+Targets_UW[[#This Row],[LEEWAY (deg)]])))</f>
        <v>78.456024404438139</v>
      </c>
      <c r="AD8" s="1">
        <f>DEGREES(ASIN(Targets_UW[[#This Row],[TWSTop]]*SIN(RADIANS(Targets_UW[[#This Row],[TWA (deg)]]+Targets_UW[[#This Row],[LEEWAY (deg)]]))/Targets_UW[[#This Row],[AWSTop]]))</f>
        <v>16.27871417391005</v>
      </c>
      <c r="AE8" s="1">
        <f>Targets_UW[[#This Row],[AWA+Leeway Top]]-Targets_UW[[#This Row],[ROT (deg)]]</f>
        <v>7.6287141739100495</v>
      </c>
      <c r="AF8" s="1">
        <f>Targets_UW[[#This Row],[CLEW (deg)]]+Targets_UW[[#This Row],[TWIST (deg)]]</f>
        <v>30.25</v>
      </c>
      <c r="AG8" s="7">
        <f>Targets_UW[[#This Row],[AWA+Leeway Top]]-Targets_UW[[#This Row],[CA6]]</f>
        <v>-13.97128582608995</v>
      </c>
      <c r="AH8" s="1">
        <f>Targets_UW[[#This Row],[AWA+Leeway]]-Targets_UW[[#This Row],[JibLead (deg)]]</f>
        <v>9.7690789786197598</v>
      </c>
    </row>
    <row r="9" spans="1:34" x14ac:dyDescent="0.25">
      <c r="A9" s="6" t="s">
        <v>32</v>
      </c>
      <c r="B9" t="s">
        <v>33</v>
      </c>
      <c r="C9" t="s">
        <v>34</v>
      </c>
      <c r="D9">
        <v>24</v>
      </c>
      <c r="E9" t="str">
        <f t="shared" si="0"/>
        <v>Foiling_HSB2_HSRW2-24m</v>
      </c>
      <c r="F9">
        <v>28</v>
      </c>
      <c r="G9" s="1">
        <f>ABS(Targets_UW[[#This Row],[BSP (km/h)]]*COS(RADIANS(Targets_UW[[#This Row],[TWA (deg)]]+Targets_UW[[#This Row],[LEEWAY (deg)]])))</f>
        <v>37.846310577423502</v>
      </c>
      <c r="H9" s="1">
        <v>58.274577427295903</v>
      </c>
      <c r="I9" s="1">
        <v>48.4</v>
      </c>
      <c r="J9" s="1">
        <v>1.1000000000000001</v>
      </c>
      <c r="K9" s="1">
        <v>-9.8000000000000007</v>
      </c>
      <c r="L9" s="1">
        <v>1.8</v>
      </c>
      <c r="M9" s="1">
        <f>Targets_UW[[#This Row],[CANT (deg)]]-Targets_UW[[#This Row],[HEEL (deg)]]</f>
        <v>-11.600000000000001</v>
      </c>
      <c r="N9" s="1">
        <v>1120</v>
      </c>
      <c r="O9" s="1">
        <v>1.08</v>
      </c>
      <c r="P9" s="1">
        <v>4.75</v>
      </c>
      <c r="Q9" s="1">
        <v>-3.5</v>
      </c>
      <c r="R9" s="1">
        <v>-16.5</v>
      </c>
      <c r="S9" s="1">
        <f>Targets_UW[[#This Row],[CLEW (deg)]]-0.5*Targets_UW[[#This Row],[CA1 (deg)]]</f>
        <v>8.65</v>
      </c>
      <c r="T9" s="1">
        <v>0.4</v>
      </c>
      <c r="U9" s="1">
        <v>30.5</v>
      </c>
      <c r="V9" s="1">
        <v>1800</v>
      </c>
      <c r="W9" s="1">
        <v>5.5</v>
      </c>
      <c r="X9" s="1">
        <v>1600</v>
      </c>
      <c r="Y9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79.368254149033802</v>
      </c>
      <c r="Z9" s="1">
        <f>DEGREES(ASIN(Targets_UW[[#This Row],[TWS (km/h)]]*SIN(RADIANS(Targets_UW[[#This Row],[TWA (deg)]]+Targets_UW[[#This Row],[LEEWAY (deg)]]))/Targets_UW[[#This Row],[AWS]]))</f>
        <v>15.560782272629174</v>
      </c>
      <c r="AA9" s="1">
        <f>Targets_UW[[#This Row],[AWA+Leeway]]-Targets_UW[[#This Row],[ROT (deg)]]</f>
        <v>6.9107822726291737</v>
      </c>
      <c r="AB9" s="1">
        <f>Targets_UW[[#This Row],[TWS (km/h)]]*(Targets_UW[[#This Row],[Wing]]/10)^0.1</f>
        <v>30.561815917301114</v>
      </c>
      <c r="AC9" s="1">
        <f>SQRT(Targets_UW[[#This Row],[TWSTop]]^2+Targets_UW[[#This Row],[BSP (km/h)]]^2+2*Targets_UW[[#This Row],[BSP (km/h)]]*Targets_UW[[#This Row],[TWSTop]]*COS(RADIANS(Targets_UW[[#This Row],[TWA (deg)]]+Targets_UW[[#This Row],[LEEWAY (deg)]])))</f>
        <v>81.506164923429878</v>
      </c>
      <c r="AD9" s="1">
        <f>DEGREES(ASIN(Targets_UW[[#This Row],[TWSTop]]*SIN(RADIANS(Targets_UW[[#This Row],[TWA (deg)]]+Targets_UW[[#This Row],[LEEWAY (deg)]]))/Targets_UW[[#This Row],[AWSTop]]))</f>
        <v>16.56627794653004</v>
      </c>
      <c r="AE9" s="1">
        <f>Targets_UW[[#This Row],[AWA+Leeway Top]]-Targets_UW[[#This Row],[ROT (deg)]]</f>
        <v>7.9162779465300392</v>
      </c>
      <c r="AF9" s="1">
        <f>Targets_UW[[#This Row],[CLEW (deg)]]+Targets_UW[[#This Row],[TWIST (deg)]]</f>
        <v>30.9</v>
      </c>
      <c r="AG9" s="7">
        <f>Targets_UW[[#This Row],[AWA+Leeway Top]]-Targets_UW[[#This Row],[CA6]]</f>
        <v>-14.333722053469959</v>
      </c>
      <c r="AH9" s="1">
        <f>Targets_UW[[#This Row],[AWA+Leeway]]-Targets_UW[[#This Row],[JibLead (deg)]]</f>
        <v>10.060782272629174</v>
      </c>
    </row>
    <row r="10" spans="1:34" x14ac:dyDescent="0.25">
      <c r="A10" s="6" t="s">
        <v>32</v>
      </c>
      <c r="B10" t="s">
        <v>33</v>
      </c>
      <c r="C10" t="s">
        <v>34</v>
      </c>
      <c r="D10">
        <v>24</v>
      </c>
      <c r="E10" t="str">
        <f t="shared" si="0"/>
        <v>Foiling_HSB2_HSRW2-24m</v>
      </c>
      <c r="F10">
        <v>30</v>
      </c>
      <c r="G10" s="1">
        <f>ABS(Targets_UW[[#This Row],[BSP (km/h)]]*COS(RADIANS(Targets_UW[[#This Row],[TWA (deg)]]+Targets_UW[[#This Row],[LEEWAY (deg)]])))</f>
        <v>38.803084352359143</v>
      </c>
      <c r="H10" s="1">
        <v>59.264801489999897</v>
      </c>
      <c r="I10" s="1">
        <v>48.1</v>
      </c>
      <c r="J10" s="1">
        <v>1</v>
      </c>
      <c r="K10" s="1">
        <v>-10</v>
      </c>
      <c r="L10" s="1">
        <v>1.5</v>
      </c>
      <c r="M10" s="1">
        <f>Targets_UW[[#This Row],[CANT (deg)]]-Targets_UW[[#This Row],[HEEL (deg)]]</f>
        <v>-11.5</v>
      </c>
      <c r="N10" s="1">
        <v>1110</v>
      </c>
      <c r="O10" s="1">
        <v>1.05</v>
      </c>
      <c r="P10" s="1">
        <v>4.6000000000000005</v>
      </c>
      <c r="Q10" s="1">
        <v>-3.5</v>
      </c>
      <c r="R10" s="1">
        <v>-16.3</v>
      </c>
      <c r="S10" s="1">
        <f>Targets_UW[[#This Row],[CLEW (deg)]]-0.5*Targets_UW[[#This Row],[CA1 (deg)]]</f>
        <v>8.8000000000000007</v>
      </c>
      <c r="T10" s="1">
        <v>0.65</v>
      </c>
      <c r="U10" s="1">
        <v>31</v>
      </c>
      <c r="V10" s="1">
        <v>1800</v>
      </c>
      <c r="W10" s="1">
        <v>5.5</v>
      </c>
      <c r="X10" s="1">
        <v>1600</v>
      </c>
      <c r="Y10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82.100558809247104</v>
      </c>
      <c r="Z10" s="1">
        <f>DEGREES(ASIN(Targets_UW[[#This Row],[TWS (km/h)]]*SIN(RADIANS(Targets_UW[[#This Row],[TWA (deg)]]+Targets_UW[[#This Row],[LEEWAY (deg)]]))/Targets_UW[[#This Row],[AWS]]))</f>
        <v>16.033125010080933</v>
      </c>
      <c r="AA10" s="1">
        <f>Targets_UW[[#This Row],[AWA+Leeway]]-Targets_UW[[#This Row],[ROT (deg)]]</f>
        <v>7.2331250100809328</v>
      </c>
      <c r="AB10" s="1">
        <f>Targets_UW[[#This Row],[TWS (km/h)]]*(Targets_UW[[#This Row],[Wing]]/10)^0.1</f>
        <v>32.744802768536907</v>
      </c>
      <c r="AC10" s="1">
        <f>SQRT(Targets_UW[[#This Row],[TWSTop]]^2+Targets_UW[[#This Row],[BSP (km/h)]]^2+2*Targets_UW[[#This Row],[BSP (km/h)]]*Targets_UW[[#This Row],[TWSTop]]*COS(RADIANS(Targets_UW[[#This Row],[TWA (deg)]]+Targets_UW[[#This Row],[LEEWAY (deg)]])))</f>
        <v>84.41408349237274</v>
      </c>
      <c r="AD10" s="1">
        <f>DEGREES(ASIN(Targets_UW[[#This Row],[TWSTop]]*SIN(RADIANS(Targets_UW[[#This Row],[TWA (deg)]]+Targets_UW[[#This Row],[LEEWAY (deg)]]))/Targets_UW[[#This Row],[AWSTop]]))</f>
        <v>17.049677908012075</v>
      </c>
      <c r="AE10" s="1">
        <f>Targets_UW[[#This Row],[AWA+Leeway Top]]-Targets_UW[[#This Row],[ROT (deg)]]</f>
        <v>8.2496779080120746</v>
      </c>
      <c r="AF10" s="1">
        <f>Targets_UW[[#This Row],[CLEW (deg)]]+Targets_UW[[#This Row],[TWIST (deg)]]</f>
        <v>31.65</v>
      </c>
      <c r="AG10" s="7">
        <f>Targets_UW[[#This Row],[AWA+Leeway Top]]-Targets_UW[[#This Row],[CA6]]</f>
        <v>-14.600322091987923</v>
      </c>
      <c r="AH10" s="1">
        <f>Targets_UW[[#This Row],[AWA+Leeway]]-Targets_UW[[#This Row],[JibLead (deg)]]</f>
        <v>10.533125010080933</v>
      </c>
    </row>
    <row r="11" spans="1:34" x14ac:dyDescent="0.25">
      <c r="A11" s="6" t="s">
        <v>32</v>
      </c>
      <c r="B11" t="s">
        <v>33</v>
      </c>
      <c r="C11" t="s">
        <v>34</v>
      </c>
      <c r="D11">
        <v>24</v>
      </c>
      <c r="E11" t="str">
        <f t="shared" si="0"/>
        <v>Foiling_HSB2_HSRW2-24m</v>
      </c>
      <c r="F11">
        <v>32</v>
      </c>
      <c r="G11" s="1">
        <f>ABS(Targets_UW[[#This Row],[BSP (km/h)]]*COS(RADIANS(Targets_UW[[#This Row],[TWA (deg)]]+Targets_UW[[#This Row],[LEEWAY (deg)]])))</f>
        <v>39.932728512641319</v>
      </c>
      <c r="H11" s="1">
        <v>60.146335167455895</v>
      </c>
      <c r="I11" s="1">
        <v>47.5</v>
      </c>
      <c r="J11" s="1">
        <v>0.9</v>
      </c>
      <c r="K11" s="1">
        <v>-10</v>
      </c>
      <c r="L11" s="1">
        <v>1.3</v>
      </c>
      <c r="M11" s="1">
        <f>Targets_UW[[#This Row],[CANT (deg)]]-Targets_UW[[#This Row],[HEEL (deg)]]</f>
        <v>-11.3</v>
      </c>
      <c r="N11" s="1">
        <v>1100</v>
      </c>
      <c r="O11" s="1">
        <v>1.03</v>
      </c>
      <c r="P11" s="1">
        <v>4.6000000000000005</v>
      </c>
      <c r="Q11" s="1">
        <v>-3.5</v>
      </c>
      <c r="R11" s="1">
        <v>-16.149999999999999</v>
      </c>
      <c r="S11" s="1">
        <f>Targets_UW[[#This Row],[CLEW (deg)]]-0.5*Targets_UW[[#This Row],[CA1 (deg)]]</f>
        <v>9.0166718800000698</v>
      </c>
      <c r="T11" s="1">
        <v>0.94167188000007007</v>
      </c>
      <c r="U11" s="1">
        <v>31.5</v>
      </c>
      <c r="V11" s="1">
        <v>1800</v>
      </c>
      <c r="W11" s="1">
        <v>5.5</v>
      </c>
      <c r="X11" s="1"/>
      <c r="Y11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84.836762425760838</v>
      </c>
      <c r="Z11" s="1">
        <f>DEGREES(ASIN(Targets_UW[[#This Row],[TWS (km/h)]]*SIN(RADIANS(Targets_UW[[#This Row],[TWA (deg)]]+Targets_UW[[#This Row],[LEEWAY (deg)]]))/Targets_UW[[#This Row],[AWS]]))</f>
        <v>16.383529576866838</v>
      </c>
      <c r="AA11" s="1">
        <f>Targets_UW[[#This Row],[AWA+Leeway]]-Targets_UW[[#This Row],[ROT (deg)]]</f>
        <v>7.3668576968667683</v>
      </c>
      <c r="AB11" s="1">
        <f>Targets_UW[[#This Row],[TWS (km/h)]]*(Targets_UW[[#This Row],[Wing]]/10)^0.1</f>
        <v>34.927789619772703</v>
      </c>
      <c r="AC11" s="1">
        <f>SQRT(Targets_UW[[#This Row],[TWSTop]]^2+Targets_UW[[#This Row],[BSP (km/h)]]^2+2*Targets_UW[[#This Row],[BSP (km/h)]]*Targets_UW[[#This Row],[TWSTop]]*COS(RADIANS(Targets_UW[[#This Row],[TWA (deg)]]+Targets_UW[[#This Row],[LEEWAY (deg)]])))</f>
        <v>87.333017826393203</v>
      </c>
      <c r="AD11" s="1">
        <f>DEGREES(ASIN(Targets_UW[[#This Row],[TWSTop]]*SIN(RADIANS(Targets_UW[[#This Row],[TWA (deg)]]+Targets_UW[[#This Row],[LEEWAY (deg)]]))/Targets_UW[[#This Row],[AWSTop]]))</f>
        <v>17.401924756007652</v>
      </c>
      <c r="AE11" s="1">
        <f>Targets_UW[[#This Row],[AWA+Leeway Top]]-Targets_UW[[#This Row],[ROT (deg)]]</f>
        <v>8.3852528760075824</v>
      </c>
      <c r="AF11" s="1">
        <f>Targets_UW[[#This Row],[CLEW (deg)]]+Targets_UW[[#This Row],[TWIST (deg)]]</f>
        <v>32.441671880000072</v>
      </c>
      <c r="AG11" s="7">
        <f>Targets_UW[[#This Row],[AWA+Leeway Top]]-Targets_UW[[#This Row],[CA6]]</f>
        <v>-15.03974712399242</v>
      </c>
      <c r="AH11" s="1">
        <f>Targets_UW[[#This Row],[AWA+Leeway]]-Targets_UW[[#This Row],[JibLead (deg)]]</f>
        <v>10.883529576866838</v>
      </c>
    </row>
    <row r="12" spans="1:34" x14ac:dyDescent="0.25">
      <c r="A12" s="6" t="s">
        <v>32</v>
      </c>
      <c r="B12" t="s">
        <v>33</v>
      </c>
      <c r="C12" t="s">
        <v>34</v>
      </c>
      <c r="D12">
        <v>24</v>
      </c>
      <c r="E12" t="str">
        <f t="shared" si="0"/>
        <v>Foiling_HSB2_HSRW2-24m</v>
      </c>
      <c r="F12">
        <v>34</v>
      </c>
      <c r="G12" s="1">
        <f>ABS(Targets_UW[[#This Row],[BSP (km/h)]]*COS(RADIANS(Targets_UW[[#This Row],[TWA (deg)]]+Targets_UW[[#This Row],[LEEWAY (deg)]])))</f>
        <v>40.78455831869227</v>
      </c>
      <c r="H12" s="1">
        <v>60.6</v>
      </c>
      <c r="I12" s="1">
        <v>46.8</v>
      </c>
      <c r="J12" s="1">
        <v>0.9</v>
      </c>
      <c r="K12" s="1">
        <v>-10</v>
      </c>
      <c r="L12" s="1">
        <v>1.2</v>
      </c>
      <c r="M12" s="1">
        <f>Targets_UW[[#This Row],[CANT (deg)]]-Targets_UW[[#This Row],[HEEL (deg)]]</f>
        <v>-11.2</v>
      </c>
      <c r="N12" s="1">
        <v>1100</v>
      </c>
      <c r="O12" s="1">
        <v>1.01</v>
      </c>
      <c r="P12" s="1">
        <v>4.6000000000000005</v>
      </c>
      <c r="Q12" s="1">
        <v>-3.5</v>
      </c>
      <c r="R12" s="1">
        <v>-16</v>
      </c>
      <c r="S12" s="1">
        <f>Targets_UW[[#This Row],[CLEW (deg)]]-0.5*Targets_UW[[#This Row],[CA1 (deg)]]</f>
        <v>9.4</v>
      </c>
      <c r="T12" s="1">
        <v>1.4</v>
      </c>
      <c r="U12" s="1">
        <v>32</v>
      </c>
      <c r="V12" s="1">
        <v>1800</v>
      </c>
      <c r="W12" s="1">
        <v>5.5</v>
      </c>
      <c r="X12" s="1"/>
      <c r="Y12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87.1877856449576</v>
      </c>
      <c r="Z12" s="1">
        <f>DEGREES(ASIN(Targets_UW[[#This Row],[TWS (km/h)]]*SIN(RADIANS(Targets_UW[[#This Row],[TWA (deg)]]+Targets_UW[[#This Row],[LEEWAY (deg)]]))/Targets_UW[[#This Row],[AWS]]))</f>
        <v>16.763906272056534</v>
      </c>
      <c r="AA12" s="1">
        <f>Targets_UW[[#This Row],[AWA+Leeway]]-Targets_UW[[#This Row],[ROT (deg)]]</f>
        <v>7.3639062720565338</v>
      </c>
      <c r="AB12" s="1">
        <f>Targets_UW[[#This Row],[TWS (km/h)]]*(Targets_UW[[#This Row],[Wing]]/10)^0.1</f>
        <v>37.110776471008499</v>
      </c>
      <c r="AC12" s="1">
        <f>SQRT(Targets_UW[[#This Row],[TWSTop]]^2+Targets_UW[[#This Row],[BSP (km/h)]]^2+2*Targets_UW[[#This Row],[BSP (km/h)]]*Targets_UW[[#This Row],[TWSTop]]*COS(RADIANS(Targets_UW[[#This Row],[TWA (deg)]]+Targets_UW[[#This Row],[LEEWAY (deg)]])))</f>
        <v>89.870256396367068</v>
      </c>
      <c r="AD12" s="1">
        <f>DEGREES(ASIN(Targets_UW[[#This Row],[TWSTop]]*SIN(RADIANS(Targets_UW[[#This Row],[TWA (deg)]]+Targets_UW[[#This Row],[LEEWAY (deg)]]))/Targets_UW[[#This Row],[AWSTop]]))</f>
        <v>17.783507891671157</v>
      </c>
      <c r="AE12" s="1">
        <f>Targets_UW[[#This Row],[AWA+Leeway Top]]-Targets_UW[[#This Row],[ROT (deg)]]</f>
        <v>8.3835078916711563</v>
      </c>
      <c r="AF12" s="1">
        <f>Targets_UW[[#This Row],[CLEW (deg)]]+Targets_UW[[#This Row],[TWIST (deg)]]</f>
        <v>33.4</v>
      </c>
      <c r="AG12" s="7">
        <f>Targets_UW[[#This Row],[AWA+Leeway Top]]-Targets_UW[[#This Row],[CA6]]</f>
        <v>-15.616492108328842</v>
      </c>
      <c r="AH12" s="1">
        <f>Targets_UW[[#This Row],[AWA+Leeway]]-Targets_UW[[#This Row],[JibLead (deg)]]</f>
        <v>11.263906272056534</v>
      </c>
    </row>
    <row r="13" spans="1:34" x14ac:dyDescent="0.25">
      <c r="A13" s="6" t="s">
        <v>32</v>
      </c>
      <c r="B13" t="s">
        <v>33</v>
      </c>
      <c r="C13" t="s">
        <v>34</v>
      </c>
      <c r="D13">
        <v>24</v>
      </c>
      <c r="E13" t="str">
        <f t="shared" si="0"/>
        <v>Foiling_HSB2_HSRW2-24m</v>
      </c>
      <c r="F13">
        <v>36</v>
      </c>
      <c r="G13" s="1">
        <f>ABS(Targets_UW[[#This Row],[BSP (km/h)]]*COS(RADIANS(Targets_UW[[#This Row],[TWA (deg)]]+Targets_UW[[#This Row],[LEEWAY (deg)]])))</f>
        <v>41.592045093389878</v>
      </c>
      <c r="H13" s="1">
        <v>61.1</v>
      </c>
      <c r="I13" s="1">
        <v>46.1</v>
      </c>
      <c r="J13" s="1">
        <v>1</v>
      </c>
      <c r="K13" s="1">
        <v>-10</v>
      </c>
      <c r="L13" s="1">
        <v>1.1000000000000001</v>
      </c>
      <c r="M13" s="1">
        <f>Targets_UW[[#This Row],[CANT (deg)]]-Targets_UW[[#This Row],[HEEL (deg)]]</f>
        <v>-11.1</v>
      </c>
      <c r="N13" s="1">
        <v>1100</v>
      </c>
      <c r="O13" s="1">
        <v>1</v>
      </c>
      <c r="P13" s="1">
        <v>4.5999999999999996</v>
      </c>
      <c r="Q13" s="1">
        <v>-3.4</v>
      </c>
      <c r="R13" s="1">
        <v>-15.95</v>
      </c>
      <c r="S13" s="1">
        <f>Targets_UW[[#This Row],[CLEW (deg)]]-0.5*Targets_UW[[#This Row],[CA1 (deg)]]</f>
        <v>9.5749999999999993</v>
      </c>
      <c r="T13" s="1">
        <v>1.6</v>
      </c>
      <c r="U13" s="1">
        <v>32</v>
      </c>
      <c r="V13" s="1">
        <v>1800</v>
      </c>
      <c r="W13" s="1">
        <v>5.5</v>
      </c>
      <c r="X13" s="1"/>
      <c r="Y13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89.575874244821478</v>
      </c>
      <c r="Z13" s="1">
        <f>DEGREES(ASIN(Targets_UW[[#This Row],[TWS (km/h)]]*SIN(RADIANS(Targets_UW[[#This Row],[TWA (deg)]]+Targets_UW[[#This Row],[LEEWAY (deg)]]))/Targets_UW[[#This Row],[AWS]]))</f>
        <v>17.12183463063792</v>
      </c>
      <c r="AA13" s="1">
        <f>Targets_UW[[#This Row],[AWA+Leeway]]-Targets_UW[[#This Row],[ROT (deg)]]</f>
        <v>7.546834630637921</v>
      </c>
      <c r="AB13" s="1">
        <f>Targets_UW[[#This Row],[TWS (km/h)]]*(Targets_UW[[#This Row],[Wing]]/10)^0.1</f>
        <v>39.293763322244288</v>
      </c>
      <c r="AC13" s="1">
        <f>SQRT(Targets_UW[[#This Row],[TWSTop]]^2+Targets_UW[[#This Row],[BSP (km/h)]]^2+2*Targets_UW[[#This Row],[BSP (km/h)]]*Targets_UW[[#This Row],[TWSTop]]*COS(RADIANS(Targets_UW[[#This Row],[TWA (deg)]]+Targets_UW[[#This Row],[LEEWAY (deg)]])))</f>
        <v>92.443635735512359</v>
      </c>
      <c r="AD13" s="1">
        <f>DEGREES(ASIN(Targets_UW[[#This Row],[TWSTop]]*SIN(RADIANS(Targets_UW[[#This Row],[TWA (deg)]]+Targets_UW[[#This Row],[LEEWAY (deg)]]))/Targets_UW[[#This Row],[AWSTop]]))</f>
        <v>18.141937962363421</v>
      </c>
      <c r="AE13" s="1">
        <f>Targets_UW[[#This Row],[AWA+Leeway Top]]-Targets_UW[[#This Row],[ROT (deg)]]</f>
        <v>8.5669379623634221</v>
      </c>
      <c r="AF13" s="1">
        <f>Targets_UW[[#This Row],[CLEW (deg)]]+Targets_UW[[#This Row],[TWIST (deg)]]</f>
        <v>33.6</v>
      </c>
      <c r="AG13" s="7">
        <f>Targets_UW[[#This Row],[AWA+Leeway Top]]-Targets_UW[[#This Row],[CA6]]</f>
        <v>-15.45806203763658</v>
      </c>
      <c r="AH13" s="1">
        <f>Targets_UW[[#This Row],[AWA+Leeway]]-Targets_UW[[#This Row],[JibLead (deg)]]</f>
        <v>11.62183463063792</v>
      </c>
    </row>
    <row r="14" spans="1:34" x14ac:dyDescent="0.25">
      <c r="A14" s="6" t="s">
        <v>32</v>
      </c>
      <c r="B14" t="s">
        <v>33</v>
      </c>
      <c r="C14" t="s">
        <v>34</v>
      </c>
      <c r="D14">
        <v>24</v>
      </c>
      <c r="E14" t="str">
        <f t="shared" si="0"/>
        <v>Foiling_HSB2_HSRW2-24m</v>
      </c>
      <c r="F14">
        <v>38</v>
      </c>
      <c r="G14" s="1">
        <f>ABS(Targets_UW[[#This Row],[BSP (km/h)]]*COS(RADIANS(Targets_UW[[#This Row],[TWA (deg)]]+Targets_UW[[#This Row],[LEEWAY (deg)]])))</f>
        <v>42.558356522334471</v>
      </c>
      <c r="H14" s="1">
        <v>61.6</v>
      </c>
      <c r="I14" s="1">
        <v>45.2</v>
      </c>
      <c r="J14" s="1">
        <v>1.1000000000000001</v>
      </c>
      <c r="K14" s="1">
        <v>-10</v>
      </c>
      <c r="L14" s="1">
        <v>1</v>
      </c>
      <c r="M14" s="1">
        <f>Targets_UW[[#This Row],[CANT (deg)]]-Targets_UW[[#This Row],[HEEL (deg)]]</f>
        <v>-11</v>
      </c>
      <c r="N14" s="1">
        <v>1100</v>
      </c>
      <c r="O14" s="1">
        <v>0.98</v>
      </c>
      <c r="P14" s="1">
        <v>4.6499999999999995</v>
      </c>
      <c r="Q14" s="1">
        <v>-3.4</v>
      </c>
      <c r="R14" s="1">
        <v>-15.899999999999999</v>
      </c>
      <c r="S14" s="1">
        <f>Targets_UW[[#This Row],[CLEW (deg)]]-0.5*Targets_UW[[#This Row],[CA1 (deg)]]</f>
        <v>9.85</v>
      </c>
      <c r="T14" s="1">
        <v>1.9</v>
      </c>
      <c r="U14" s="1">
        <v>32</v>
      </c>
      <c r="V14" s="1">
        <v>1800</v>
      </c>
      <c r="W14" s="1">
        <v>5.75</v>
      </c>
      <c r="X14" s="1"/>
      <c r="Y14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92.048873408083708</v>
      </c>
      <c r="Z14" s="1">
        <f>DEGREES(ASIN(Targets_UW[[#This Row],[TWS (km/h)]]*SIN(RADIANS(Targets_UW[[#This Row],[TWA (deg)]]+Targets_UW[[#This Row],[LEEWAY (deg)]]))/Targets_UW[[#This Row],[AWS]]))</f>
        <v>17.365029388461856</v>
      </c>
      <c r="AA14" s="1">
        <f>Targets_UW[[#This Row],[AWA+Leeway]]-Targets_UW[[#This Row],[ROT (deg)]]</f>
        <v>7.5150293884618566</v>
      </c>
      <c r="AB14" s="1">
        <f>Targets_UW[[#This Row],[TWS (km/h)]]*(Targets_UW[[#This Row],[Wing]]/10)^0.1</f>
        <v>41.476750173480085</v>
      </c>
      <c r="AC14" s="1">
        <f>SQRT(Targets_UW[[#This Row],[TWSTop]]^2+Targets_UW[[#This Row],[BSP (km/h)]]^2+2*Targets_UW[[#This Row],[BSP (km/h)]]*Targets_UW[[#This Row],[TWSTop]]*COS(RADIANS(Targets_UW[[#This Row],[TWA (deg)]]+Targets_UW[[#This Row],[LEEWAY (deg)]])))</f>
        <v>95.106495296035419</v>
      </c>
      <c r="AD14" s="1">
        <f>DEGREES(ASIN(Targets_UW[[#This Row],[TWSTop]]*SIN(RADIANS(Targets_UW[[#This Row],[TWA (deg)]]+Targets_UW[[#This Row],[LEEWAY (deg)]]))/Targets_UW[[#This Row],[AWSTop]]))</f>
        <v>18.378449178263107</v>
      </c>
      <c r="AE14" s="1">
        <f>Targets_UW[[#This Row],[AWA+Leeway Top]]-Targets_UW[[#This Row],[ROT (deg)]]</f>
        <v>8.5284491782631076</v>
      </c>
      <c r="AF14" s="1">
        <f>Targets_UW[[#This Row],[CLEW (deg)]]+Targets_UW[[#This Row],[TWIST (deg)]]</f>
        <v>33.9</v>
      </c>
      <c r="AG14" s="7">
        <f>Targets_UW[[#This Row],[AWA+Leeway Top]]-Targets_UW[[#This Row],[CA6]]</f>
        <v>-15.521550821736891</v>
      </c>
      <c r="AH14" s="1">
        <f>Targets_UW[[#This Row],[AWA+Leeway]]-Targets_UW[[#This Row],[JibLead (deg)]]</f>
        <v>11.615029388461856</v>
      </c>
    </row>
    <row r="15" spans="1:34" ht="15.75" thickBot="1" x14ac:dyDescent="0.3">
      <c r="A15" s="8" t="s">
        <v>32</v>
      </c>
      <c r="B15" s="9" t="s">
        <v>33</v>
      </c>
      <c r="C15" s="9" t="s">
        <v>34</v>
      </c>
      <c r="D15" s="9">
        <v>24</v>
      </c>
      <c r="E15" s="9" t="str">
        <f t="shared" si="0"/>
        <v>Foiling_HSB2_HSRW2-24m</v>
      </c>
      <c r="F15" s="9">
        <v>40</v>
      </c>
      <c r="G15" s="10">
        <f>ABS(Targets_UW[[#This Row],[BSP (km/h)]]*COS(RADIANS(Targets_UW[[#This Row],[TWA (deg)]]+Targets_UW[[#This Row],[LEEWAY (deg)]])))</f>
        <v>43.146593388723488</v>
      </c>
      <c r="H15" s="10">
        <v>62</v>
      </c>
      <c r="I15" s="10">
        <v>44.6</v>
      </c>
      <c r="J15" s="10">
        <v>1.3</v>
      </c>
      <c r="K15" s="10">
        <v>-10</v>
      </c>
      <c r="L15" s="10">
        <v>0.85</v>
      </c>
      <c r="M15" s="10">
        <f>Targets_UW[[#This Row],[CANT (deg)]]-Targets_UW[[#This Row],[HEEL (deg)]]</f>
        <v>-10.85</v>
      </c>
      <c r="N15" s="1">
        <v>1100</v>
      </c>
      <c r="O15" s="10">
        <v>0.97</v>
      </c>
      <c r="P15" s="10">
        <v>4.5999999999999996</v>
      </c>
      <c r="Q15" s="10">
        <v>-3.3</v>
      </c>
      <c r="R15" s="10">
        <v>-15.7</v>
      </c>
      <c r="S15" s="10">
        <f>Targets_UW[[#This Row],[CLEW (deg)]]-0.5*Targets_UW[[#This Row],[CA1 (deg)]]</f>
        <v>10.050000000000001</v>
      </c>
      <c r="T15" s="10">
        <v>2.2000000000000002</v>
      </c>
      <c r="U15" s="10">
        <v>32</v>
      </c>
      <c r="V15" s="10">
        <v>1800</v>
      </c>
      <c r="W15" s="10">
        <v>6</v>
      </c>
      <c r="X15" s="10"/>
      <c r="Y15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94.317164244361578</v>
      </c>
      <c r="Z15" s="10">
        <f>DEGREES(ASIN(Targets_UW[[#This Row],[TWS (km/h)]]*SIN(RADIANS(Targets_UW[[#This Row],[TWA (deg)]]+Targets_UW[[#This Row],[LEEWAY (deg)]]))/Targets_UW[[#This Row],[AWS]]))</f>
        <v>17.731577302246606</v>
      </c>
      <c r="AA15" s="10">
        <f>Targets_UW[[#This Row],[AWA+Leeway]]-Targets_UW[[#This Row],[ROT (deg)]]</f>
        <v>7.6815773022466054</v>
      </c>
      <c r="AB15" s="10">
        <f>Targets_UW[[#This Row],[TWS (km/h)]]*(Targets_UW[[#This Row],[Wing]]/10)^0.1</f>
        <v>43.659737024715881</v>
      </c>
      <c r="AC15" s="10">
        <f>SQRT(Targets_UW[[#This Row],[TWSTop]]^2+Targets_UW[[#This Row],[BSP (km/h)]]^2+2*Targets_UW[[#This Row],[BSP (km/h)]]*Targets_UW[[#This Row],[TWSTop]]*COS(RADIANS(Targets_UW[[#This Row],[TWA (deg)]]+Targets_UW[[#This Row],[LEEWAY (deg)]])))</f>
        <v>97.558753983409261</v>
      </c>
      <c r="AD15" s="10">
        <f>DEGREES(ASIN(Targets_UW[[#This Row],[TWSTop]]*SIN(RADIANS(Targets_UW[[#This Row],[TWA (deg)]]+Targets_UW[[#This Row],[LEEWAY (deg)]]))/Targets_UW[[#This Row],[AWSTop]]))</f>
        <v>18.746261166906258</v>
      </c>
      <c r="AE15" s="10">
        <f>Targets_UW[[#This Row],[AWA+Leeway Top]]-Targets_UW[[#This Row],[ROT (deg)]]</f>
        <v>8.6962611669062575</v>
      </c>
      <c r="AF15" s="10">
        <f>Targets_UW[[#This Row],[CLEW (deg)]]+Targets_UW[[#This Row],[TWIST (deg)]]</f>
        <v>34.200000000000003</v>
      </c>
      <c r="AG15" s="11">
        <f>Targets_UW[[#This Row],[AWA+Leeway Top]]-Targets_UW[[#This Row],[CA6]]</f>
        <v>-15.453738833093745</v>
      </c>
      <c r="AH15" s="1">
        <f>Targets_UW[[#This Row],[AWA+Leeway]]-Targets_UW[[#This Row],[JibLead (deg)]]</f>
        <v>11.731577302246606</v>
      </c>
    </row>
    <row r="16" spans="1:34" x14ac:dyDescent="0.25">
      <c r="A16" s="2" t="s">
        <v>32</v>
      </c>
      <c r="B16" s="3" t="s">
        <v>33</v>
      </c>
      <c r="C16" s="3" t="s">
        <v>34</v>
      </c>
      <c r="D16" s="3">
        <v>18</v>
      </c>
      <c r="E16" s="3" t="str">
        <f t="shared" si="0"/>
        <v>Foiling_HSB2_HSRW2-18m</v>
      </c>
      <c r="F16" s="3">
        <v>20</v>
      </c>
      <c r="G16" s="4">
        <f>ABS(Targets_UW[[#This Row],[BSP (km/h)]]*COS(RADIANS(Targets_UW[[#This Row],[TWA (deg)]]+Targets_UW[[#This Row],[LEEWAY (deg)]])))</f>
        <v>26.687312715736326</v>
      </c>
      <c r="H16" s="4">
        <v>49</v>
      </c>
      <c r="I16" s="4">
        <v>55</v>
      </c>
      <c r="J16" s="4">
        <v>2</v>
      </c>
      <c r="K16" s="4">
        <v>-1</v>
      </c>
      <c r="L16" s="4">
        <v>3</v>
      </c>
      <c r="M16" s="4">
        <f>Targets_UW[[#This Row],[CANT (deg)]]-Targets_UW[[#This Row],[HEEL (deg)]]</f>
        <v>-4</v>
      </c>
      <c r="N16" s="4">
        <v>1200</v>
      </c>
      <c r="O16" s="4">
        <v>1.4</v>
      </c>
      <c r="P16" s="4">
        <v>5.3</v>
      </c>
      <c r="Q16" s="4">
        <v>-3.2</v>
      </c>
      <c r="R16" s="4">
        <v>-20</v>
      </c>
      <c r="S16" s="4">
        <f>Targets_UW[[#This Row],[CLEW (deg)]]-0.5*Targets_UW[[#This Row],[CA1 (deg)]]</f>
        <v>7.5</v>
      </c>
      <c r="T16" s="4">
        <v>-2.5</v>
      </c>
      <c r="U16" s="4">
        <v>14</v>
      </c>
      <c r="V16" s="4">
        <v>1000</v>
      </c>
      <c r="W16" s="4">
        <v>5</v>
      </c>
      <c r="X16" s="4">
        <v>800</v>
      </c>
      <c r="Y16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62.197206598282641</v>
      </c>
      <c r="Z16" s="4">
        <f>DEGREES(ASIN(Targets_UW[[#This Row],[TWS (km/h)]]*SIN(RADIANS(Targets_UW[[#This Row],[TWA (deg)]]+Targets_UW[[#This Row],[LEEWAY (deg)]]))/Targets_UW[[#This Row],[AWS]]))</f>
        <v>15.64529158561942</v>
      </c>
      <c r="AA16" s="4">
        <f>Targets_UW[[#This Row],[AWA+Leeway]]-Targets_UW[[#This Row],[ROT (deg)]]</f>
        <v>8.1452915856194199</v>
      </c>
      <c r="AB16" s="4">
        <f>Targets_UW[[#This Row],[TWS (km/h)]]*(Targets_UW[[#This Row],[Wing]]/10)^0.1</f>
        <v>21.210809632280373</v>
      </c>
      <c r="AC16" s="4">
        <f>SQRT(Targets_UW[[#This Row],[TWSTop]]^2+Targets_UW[[#This Row],[BSP (km/h)]]^2+2*Targets_UW[[#This Row],[BSP (km/h)]]*Targets_UW[[#This Row],[TWSTop]]*COS(RADIANS(Targets_UW[[#This Row],[TWA (deg)]]+Targets_UW[[#This Row],[LEEWAY (deg)]])))</f>
        <v>63.111151664963899</v>
      </c>
      <c r="AD16" s="4">
        <f>DEGREES(ASIN(Targets_UW[[#This Row],[TWSTop]]*SIN(RADIANS(Targets_UW[[#This Row],[TWA (deg)]]+Targets_UW[[#This Row],[LEEWAY (deg)]]))/Targets_UW[[#This Row],[AWSTop]]))</f>
        <v>16.371599251339607</v>
      </c>
      <c r="AE16" s="4">
        <f>Targets_UW[[#This Row],[AWA+Leeway Top]]-Targets_UW[[#This Row],[ROT (deg)]]</f>
        <v>8.8715992513396067</v>
      </c>
      <c r="AF16" s="4">
        <f>Targets_UW[[#This Row],[CLEW (deg)]]+Targets_UW[[#This Row],[TWIST (deg)]]</f>
        <v>11.5</v>
      </c>
      <c r="AG16" s="5">
        <f>Targets_UW[[#This Row],[AWA+Leeway Top]]-Targets_UW[[#This Row],[CA6]]</f>
        <v>4.8715992513396067</v>
      </c>
      <c r="AH16" s="1">
        <f>Targets_UW[[#This Row],[AWA+Leeway]]-Targets_UW[[#This Row],[JibLead (deg)]]</f>
        <v>10.64529158561942</v>
      </c>
    </row>
    <row r="17" spans="1:34" x14ac:dyDescent="0.25">
      <c r="A17" s="6" t="s">
        <v>32</v>
      </c>
      <c r="B17" t="s">
        <v>33</v>
      </c>
      <c r="C17" t="s">
        <v>34</v>
      </c>
      <c r="D17">
        <v>18</v>
      </c>
      <c r="E17" t="str">
        <f t="shared" ref="E17:E20" si="1">A17 &amp; "_" &amp; B17 &amp; "_" &amp; C17 &amp; "-" &amp; D17 &amp; "m"</f>
        <v>Foiling_HSB2_HSRW2-18m</v>
      </c>
      <c r="F17">
        <v>22</v>
      </c>
      <c r="G17" s="1">
        <f>ABS(Targets_UW[[#This Row],[BSP (km/h)]]*COS(RADIANS(Targets_UW[[#This Row],[TWA (deg)]]+Targets_UW[[#This Row],[LEEWAY (deg)]])))</f>
        <v>29.790061627971209</v>
      </c>
      <c r="H17" s="1">
        <v>51.3</v>
      </c>
      <c r="I17" s="1">
        <v>53</v>
      </c>
      <c r="J17" s="1">
        <v>1.5</v>
      </c>
      <c r="K17" s="1">
        <v>-5</v>
      </c>
      <c r="L17" s="1">
        <v>2.7</v>
      </c>
      <c r="M17" s="1">
        <f>Targets_UW[[#This Row],[CANT (deg)]]-Targets_UW[[#This Row],[HEEL (deg)]]</f>
        <v>-7.7</v>
      </c>
      <c r="N17" s="1">
        <v>1180</v>
      </c>
      <c r="O17" s="1">
        <v>1.3</v>
      </c>
      <c r="P17" s="1">
        <v>4.9000000000000004</v>
      </c>
      <c r="Q17" s="1">
        <v>-3.2</v>
      </c>
      <c r="R17" s="1">
        <v>-18.5</v>
      </c>
      <c r="S17" s="1">
        <f>Targets_UW[[#This Row],[CLEW (deg)]]-0.5*Targets_UW[[#This Row],[CA1 (deg)]]</f>
        <v>7.25</v>
      </c>
      <c r="T17" s="1">
        <v>-2</v>
      </c>
      <c r="U17" s="1">
        <v>17</v>
      </c>
      <c r="V17" s="1">
        <v>1200</v>
      </c>
      <c r="W17" s="1">
        <v>5.0999999999999996</v>
      </c>
      <c r="X17" s="1">
        <v>1000</v>
      </c>
      <c r="Y17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66.531591831480569</v>
      </c>
      <c r="Z17" s="1">
        <f>DEGREES(ASIN(Targets_UW[[#This Row],[TWS (km/h)]]*SIN(RADIANS(Targets_UW[[#This Row],[TWA (deg)]]+Targets_UW[[#This Row],[LEEWAY (deg)]]))/Targets_UW[[#This Row],[AWS]]))</f>
        <v>15.616879564041502</v>
      </c>
      <c r="AA17" s="1">
        <f>Targets_UW[[#This Row],[AWA+Leeway]]-Targets_UW[[#This Row],[ROT (deg)]]</f>
        <v>8.3668795640415023</v>
      </c>
      <c r="AB17" s="1">
        <f>Targets_UW[[#This Row],[TWS (km/h)]]*(Targets_UW[[#This Row],[Wing]]/10)^0.1</f>
        <v>23.331890595508412</v>
      </c>
      <c r="AC17" s="1">
        <f>SQRT(Targets_UW[[#This Row],[TWSTop]]^2+Targets_UW[[#This Row],[BSP (km/h)]]^2+2*Targets_UW[[#This Row],[BSP (km/h)]]*Targets_UW[[#This Row],[TWSTop]]*COS(RADIANS(Targets_UW[[#This Row],[TWA (deg)]]+Targets_UW[[#This Row],[LEEWAY (deg)]])))</f>
        <v>67.573545387491166</v>
      </c>
      <c r="AD17" s="1">
        <f>DEGREES(ASIN(Targets_UW[[#This Row],[TWSTop]]*SIN(RADIANS(Targets_UW[[#This Row],[TWA (deg)]]+Targets_UW[[#This Row],[LEEWAY (deg)]]))/Targets_UW[[#This Row],[AWSTop]]))</f>
        <v>16.325805792173973</v>
      </c>
      <c r="AE17" s="1">
        <f>Targets_UW[[#This Row],[AWA+Leeway Top]]-Targets_UW[[#This Row],[ROT (deg)]]</f>
        <v>9.0758057921739734</v>
      </c>
      <c r="AF17" s="1">
        <f>Targets_UW[[#This Row],[CLEW (deg)]]+Targets_UW[[#This Row],[TWIST (deg)]]</f>
        <v>15</v>
      </c>
      <c r="AG17" s="7">
        <f>Targets_UW[[#This Row],[AWA+Leeway Top]]-Targets_UW[[#This Row],[CA6]]</f>
        <v>1.3258057921739734</v>
      </c>
      <c r="AH17" s="1">
        <f>Targets_UW[[#This Row],[AWA+Leeway]]-Targets_UW[[#This Row],[JibLead (deg)]]</f>
        <v>10.516879564041503</v>
      </c>
    </row>
    <row r="18" spans="1:34" x14ac:dyDescent="0.25">
      <c r="A18" s="6" t="s">
        <v>32</v>
      </c>
      <c r="B18" t="s">
        <v>33</v>
      </c>
      <c r="C18" t="s">
        <v>34</v>
      </c>
      <c r="D18">
        <v>18</v>
      </c>
      <c r="E18" t="str">
        <f t="shared" si="1"/>
        <v>Foiling_HSB2_HSRW2-18m</v>
      </c>
      <c r="F18">
        <v>24</v>
      </c>
      <c r="G18" s="1">
        <f>ABS(Targets_UW[[#This Row],[BSP (km/h)]]*COS(RADIANS(Targets_UW[[#This Row],[TWA (deg)]]+Targets_UW[[#This Row],[LEEWAY (deg)]])))</f>
        <v>33.403434424087216</v>
      </c>
      <c r="H18" s="1">
        <v>54.5</v>
      </c>
      <c r="I18" s="1">
        <v>51</v>
      </c>
      <c r="J18" s="1">
        <v>1.2</v>
      </c>
      <c r="K18" s="1">
        <v>-8</v>
      </c>
      <c r="L18" s="1">
        <v>2.4</v>
      </c>
      <c r="M18" s="1">
        <f>Targets_UW[[#This Row],[CANT (deg)]]-Targets_UW[[#This Row],[HEEL (deg)]]</f>
        <v>-10.4</v>
      </c>
      <c r="N18" s="1">
        <v>1160</v>
      </c>
      <c r="O18" s="1">
        <v>1.25</v>
      </c>
      <c r="P18" s="1">
        <v>4.5</v>
      </c>
      <c r="Q18" s="1">
        <v>-3.2</v>
      </c>
      <c r="R18" s="1">
        <v>-17.5</v>
      </c>
      <c r="S18" s="1">
        <f>Targets_UW[[#This Row],[CLEW (deg)]]-0.5*Targets_UW[[#This Row],[CA1 (deg)]]</f>
        <v>7.25</v>
      </c>
      <c r="T18" s="1">
        <v>-1.5</v>
      </c>
      <c r="U18" s="1">
        <v>19</v>
      </c>
      <c r="V18" s="1">
        <v>1400</v>
      </c>
      <c r="W18" s="1">
        <v>5.2</v>
      </c>
      <c r="X18" s="1">
        <v>1200</v>
      </c>
      <c r="Y18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71.760816971075414</v>
      </c>
      <c r="Z18" s="1">
        <f>DEGREES(ASIN(Targets_UW[[#This Row],[TWS (km/h)]]*SIN(RADIANS(Targets_UW[[#This Row],[TWA (deg)]]+Targets_UW[[#This Row],[LEEWAY (deg)]]))/Targets_UW[[#This Row],[AWS]]))</f>
        <v>15.32315772711903</v>
      </c>
      <c r="AA18" s="1">
        <f>Targets_UW[[#This Row],[AWA+Leeway]]-Targets_UW[[#This Row],[ROT (deg)]]</f>
        <v>8.07315772711903</v>
      </c>
      <c r="AB18" s="1">
        <f>Targets_UW[[#This Row],[TWS (km/h)]]*(Targets_UW[[#This Row],[Wing]]/10)^0.1</f>
        <v>25.452971558736451</v>
      </c>
      <c r="AC18" s="1">
        <f>SQRT(Targets_UW[[#This Row],[TWSTop]]^2+Targets_UW[[#This Row],[BSP (km/h)]]^2+2*Targets_UW[[#This Row],[BSP (km/h)]]*Targets_UW[[#This Row],[TWSTop]]*COS(RADIANS(Targets_UW[[#This Row],[TWA (deg)]]+Targets_UW[[#This Row],[LEEWAY (deg)]])))</f>
        <v>72.92830104898006</v>
      </c>
      <c r="AD18" s="1">
        <f>DEGREES(ASIN(Targets_UW[[#This Row],[TWSTop]]*SIN(RADIANS(Targets_UW[[#This Row],[TWA (deg)]]+Targets_UW[[#This Row],[LEEWAY (deg)]]))/Targets_UW[[#This Row],[AWSTop]]))</f>
        <v>16.008196927187019</v>
      </c>
      <c r="AE18" s="1">
        <f>Targets_UW[[#This Row],[AWA+Leeway Top]]-Targets_UW[[#This Row],[ROT (deg)]]</f>
        <v>8.7581969271870186</v>
      </c>
      <c r="AF18" s="1">
        <f>Targets_UW[[#This Row],[CLEW (deg)]]+Targets_UW[[#This Row],[TWIST (deg)]]</f>
        <v>17.5</v>
      </c>
      <c r="AG18" s="7">
        <f>Targets_UW[[#This Row],[AWA+Leeway Top]]-Targets_UW[[#This Row],[CA6]]</f>
        <v>-1.4918030728129814</v>
      </c>
      <c r="AH18" s="1">
        <f>Targets_UW[[#This Row],[AWA+Leeway]]-Targets_UW[[#This Row],[JibLead (deg)]]</f>
        <v>10.123157727119029</v>
      </c>
    </row>
    <row r="19" spans="1:34" x14ac:dyDescent="0.25">
      <c r="A19" s="6" t="s">
        <v>32</v>
      </c>
      <c r="B19" t="s">
        <v>33</v>
      </c>
      <c r="C19" t="s">
        <v>34</v>
      </c>
      <c r="D19">
        <v>18</v>
      </c>
      <c r="E19" t="str">
        <f t="shared" si="1"/>
        <v>Foiling_HSB2_HSRW2-18m</v>
      </c>
      <c r="F19">
        <v>26</v>
      </c>
      <c r="G19" s="1">
        <f>ABS(Targets_UW[[#This Row],[BSP (km/h)]]*COS(RADIANS(Targets_UW[[#This Row],[TWA (deg)]]+Targets_UW[[#This Row],[LEEWAY (deg)]])))</f>
        <v>37.281681361819281</v>
      </c>
      <c r="H19" s="1">
        <v>58</v>
      </c>
      <c r="I19" s="1">
        <v>49</v>
      </c>
      <c r="J19" s="1">
        <v>1</v>
      </c>
      <c r="K19" s="1">
        <v>-9.5</v>
      </c>
      <c r="L19" s="1">
        <v>2.1</v>
      </c>
      <c r="M19" s="1">
        <f>Targets_UW[[#This Row],[CANT (deg)]]-Targets_UW[[#This Row],[HEEL (deg)]]</f>
        <v>-11.6</v>
      </c>
      <c r="N19" s="1">
        <v>1140</v>
      </c>
      <c r="O19" s="1">
        <v>1.2</v>
      </c>
      <c r="P19" s="1">
        <v>4.3</v>
      </c>
      <c r="Q19" s="1">
        <v>-3.2</v>
      </c>
      <c r="R19" s="1">
        <v>-17.2</v>
      </c>
      <c r="S19" s="1">
        <f>Targets_UW[[#This Row],[CLEW (deg)]]-0.5*Targets_UW[[#This Row],[CA1 (deg)]]</f>
        <v>7.6</v>
      </c>
      <c r="T19" s="1">
        <v>-1</v>
      </c>
      <c r="U19" s="1">
        <v>21</v>
      </c>
      <c r="V19" s="1">
        <v>1600</v>
      </c>
      <c r="W19" s="1">
        <v>5.3</v>
      </c>
      <c r="X19" s="1">
        <v>1400</v>
      </c>
      <c r="Y19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77.321713837799805</v>
      </c>
      <c r="Z19" s="1">
        <f>DEGREES(ASIN(Targets_UW[[#This Row],[TWS (km/h)]]*SIN(RADIANS(Targets_UW[[#This Row],[TWA (deg)]]+Targets_UW[[#This Row],[LEEWAY (deg)]]))/Targets_UW[[#This Row],[AWS]]))</f>
        <v>14.926998186225509</v>
      </c>
      <c r="AA19" s="1">
        <f>Targets_UW[[#This Row],[AWA+Leeway]]-Targets_UW[[#This Row],[ROT (deg)]]</f>
        <v>7.3269981862255094</v>
      </c>
      <c r="AB19" s="1">
        <f>Targets_UW[[#This Row],[TWS (km/h)]]*(Targets_UW[[#This Row],[Wing]]/10)^0.1</f>
        <v>27.574052521964486</v>
      </c>
      <c r="AC19" s="1">
        <f>SQRT(Targets_UW[[#This Row],[TWSTop]]^2+Targets_UW[[#This Row],[BSP (km/h)]]^2+2*Targets_UW[[#This Row],[BSP (km/h)]]*Targets_UW[[#This Row],[TWSTop]]*COS(RADIANS(Targets_UW[[#This Row],[TWA (deg)]]+Targets_UW[[#This Row],[LEEWAY (deg)]])))</f>
        <v>78.615154089017437</v>
      </c>
      <c r="AD19" s="1">
        <f>DEGREES(ASIN(Targets_UW[[#This Row],[TWSTop]]*SIN(RADIANS(Targets_UW[[#This Row],[TWA (deg)]]+Targets_UW[[#This Row],[LEEWAY (deg)]]))/Targets_UW[[#This Row],[AWSTop]]))</f>
        <v>15.586211017489523</v>
      </c>
      <c r="AE19" s="1">
        <f>Targets_UW[[#This Row],[AWA+Leeway Top]]-Targets_UW[[#This Row],[ROT (deg)]]</f>
        <v>7.9862110174895236</v>
      </c>
      <c r="AF19" s="1">
        <f>Targets_UW[[#This Row],[CLEW (deg)]]+Targets_UW[[#This Row],[TWIST (deg)]]</f>
        <v>20</v>
      </c>
      <c r="AG19" s="7">
        <f>Targets_UW[[#This Row],[AWA+Leeway Top]]-Targets_UW[[#This Row],[CA6]]</f>
        <v>-4.4137889825104768</v>
      </c>
      <c r="AH19" s="1">
        <f>Targets_UW[[#This Row],[AWA+Leeway]]-Targets_UW[[#This Row],[JibLead (deg)]]</f>
        <v>9.6269981862255101</v>
      </c>
    </row>
    <row r="20" spans="1:34" x14ac:dyDescent="0.25">
      <c r="A20" s="6" t="s">
        <v>32</v>
      </c>
      <c r="B20" t="s">
        <v>33</v>
      </c>
      <c r="C20" t="s">
        <v>34</v>
      </c>
      <c r="D20">
        <v>18</v>
      </c>
      <c r="E20" t="str">
        <f t="shared" si="1"/>
        <v>Foiling_HSB2_HSRW2-18m</v>
      </c>
      <c r="F20">
        <v>28</v>
      </c>
      <c r="G20" s="1">
        <f>ABS(Targets_UW[[#This Row],[BSP (km/h)]]*COS(RADIANS(Targets_UW[[#This Row],[TWA (deg)]]+Targets_UW[[#This Row],[LEEWAY (deg)]])))</f>
        <v>39.813271078352066</v>
      </c>
      <c r="H20" s="1">
        <v>59.5</v>
      </c>
      <c r="I20" s="1">
        <v>47</v>
      </c>
      <c r="J20" s="1">
        <v>1</v>
      </c>
      <c r="K20" s="1">
        <v>-9.8000000000000007</v>
      </c>
      <c r="L20" s="1">
        <v>1.8</v>
      </c>
      <c r="M20" s="1">
        <f>Targets_UW[[#This Row],[CANT (deg)]]-Targets_UW[[#This Row],[HEEL (deg)]]</f>
        <v>-11.600000000000001</v>
      </c>
      <c r="N20" s="1">
        <v>1125</v>
      </c>
      <c r="O20" s="1">
        <v>1.1499999999999999</v>
      </c>
      <c r="P20" s="1">
        <v>4.2</v>
      </c>
      <c r="Q20" s="1">
        <v>-3.2</v>
      </c>
      <c r="R20" s="1">
        <v>-17.100000000000001</v>
      </c>
      <c r="S20" s="1">
        <f>Targets_UW[[#This Row],[CLEW (deg)]]-0.5*Targets_UW[[#This Row],[CA1 (deg)]]</f>
        <v>8.0500000000000007</v>
      </c>
      <c r="T20" s="1">
        <v>-0.5</v>
      </c>
      <c r="U20" s="1">
        <v>22</v>
      </c>
      <c r="V20" s="1">
        <v>1800</v>
      </c>
      <c r="W20" s="1">
        <v>5.4</v>
      </c>
      <c r="X20" s="1">
        <v>1500</v>
      </c>
      <c r="Y20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80.955501236097078</v>
      </c>
      <c r="Z20" s="1">
        <f>DEGREES(ASIN(Targets_UW[[#This Row],[TWS (km/h)]]*SIN(RADIANS(Targets_UW[[#This Row],[TWA (deg)]]+Targets_UW[[#This Row],[LEEWAY (deg)]]))/Targets_UW[[#This Row],[AWS]]))</f>
        <v>14.89395141757675</v>
      </c>
      <c r="AA20" s="1">
        <f>Targets_UW[[#This Row],[AWA+Leeway]]-Targets_UW[[#This Row],[ROT (deg)]]</f>
        <v>6.8439514175767489</v>
      </c>
      <c r="AB20" s="1">
        <f>Targets_UW[[#This Row],[TWS (km/h)]]*(Targets_UW[[#This Row],[Wing]]/10)^0.1</f>
        <v>29.695133485192525</v>
      </c>
      <c r="AC20" s="1">
        <f>SQRT(Targets_UW[[#This Row],[TWSTop]]^2+Targets_UW[[#This Row],[BSP (km/h)]]^2+2*Targets_UW[[#This Row],[BSP (km/h)]]*Targets_UW[[#This Row],[TWSTop]]*COS(RADIANS(Targets_UW[[#This Row],[TWA (deg)]]+Targets_UW[[#This Row],[LEEWAY (deg)]])))</f>
        <v>82.380651557335</v>
      </c>
      <c r="AD20" s="1">
        <f>DEGREES(ASIN(Targets_UW[[#This Row],[TWSTop]]*SIN(RADIANS(Targets_UW[[#This Row],[TWA (deg)]]+Targets_UW[[#This Row],[LEEWAY (deg)]]))/Targets_UW[[#This Row],[AWSTop]]))</f>
        <v>15.537904926170835</v>
      </c>
      <c r="AE20" s="1">
        <f>Targets_UW[[#This Row],[AWA+Leeway Top]]-Targets_UW[[#This Row],[ROT (deg)]]</f>
        <v>7.4879049261708346</v>
      </c>
      <c r="AF20" s="1">
        <f>Targets_UW[[#This Row],[CLEW (deg)]]+Targets_UW[[#This Row],[TWIST (deg)]]</f>
        <v>21.5</v>
      </c>
      <c r="AG20" s="7">
        <f>Targets_UW[[#This Row],[AWA+Leeway Top]]-Targets_UW[[#This Row],[CA6]]</f>
        <v>-5.9620950738291647</v>
      </c>
      <c r="AH20" s="1">
        <f>Targets_UW[[#This Row],[AWA+Leeway]]-Targets_UW[[#This Row],[JibLead (deg)]]</f>
        <v>9.4939514175767492</v>
      </c>
    </row>
    <row r="21" spans="1:34" x14ac:dyDescent="0.25">
      <c r="A21" s="6" t="s">
        <v>32</v>
      </c>
      <c r="B21" t="s">
        <v>33</v>
      </c>
      <c r="C21" t="s">
        <v>34</v>
      </c>
      <c r="D21">
        <v>18</v>
      </c>
      <c r="E21" t="str">
        <f t="shared" ref="E21" si="2">A21 &amp; "_" &amp; B21 &amp; "_" &amp; C21 &amp; "-" &amp; D21 &amp; "m"</f>
        <v>Foiling_HSB2_HSRW2-18m</v>
      </c>
      <c r="F21">
        <v>30</v>
      </c>
      <c r="G21" s="1">
        <f>ABS(Targets_UW[[#This Row],[BSP (km/h)]]*COS(RADIANS(Targets_UW[[#This Row],[TWA (deg)]]+Targets_UW[[#This Row],[LEEWAY (deg)]])))</f>
        <v>41.679502227539835</v>
      </c>
      <c r="H21" s="1">
        <v>60</v>
      </c>
      <c r="I21" s="1">
        <v>45</v>
      </c>
      <c r="J21" s="1">
        <v>1</v>
      </c>
      <c r="K21" s="1">
        <v>-9.8000000000000007</v>
      </c>
      <c r="L21" s="1">
        <v>1.5</v>
      </c>
      <c r="M21" s="1">
        <f>Targets_UW[[#This Row],[CANT (deg)]]-Targets_UW[[#This Row],[HEEL (deg)]]</f>
        <v>-11.3</v>
      </c>
      <c r="N21" s="1">
        <v>1110</v>
      </c>
      <c r="O21" s="1">
        <v>1.1000000000000001</v>
      </c>
      <c r="P21" s="1">
        <v>4.0999999999999996</v>
      </c>
      <c r="Q21" s="1">
        <v>-3.2</v>
      </c>
      <c r="R21" s="1">
        <v>-16.899999999999999</v>
      </c>
      <c r="S21" s="1">
        <f>Targets_UW[[#This Row],[CLEW (deg)]]-0.5*Targets_UW[[#This Row],[CA1 (deg)]]</f>
        <v>8.4499999999999993</v>
      </c>
      <c r="T21" s="1">
        <v>0</v>
      </c>
      <c r="U21" s="1">
        <v>23</v>
      </c>
      <c r="V21" s="1">
        <v>1900</v>
      </c>
      <c r="W21" s="1">
        <v>5.5</v>
      </c>
      <c r="X21" s="1">
        <v>1600</v>
      </c>
      <c r="Y21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83.670604955697485</v>
      </c>
      <c r="Z21" s="1">
        <f>DEGREES(ASIN(Targets_UW[[#This Row],[TWS (km/h)]]*SIN(RADIANS(Targets_UW[[#This Row],[TWA (deg)]]+Targets_UW[[#This Row],[LEEWAY (deg)]]))/Targets_UW[[#This Row],[AWS]]))</f>
        <v>14.946587003382485</v>
      </c>
      <c r="AA21" s="1">
        <f>Targets_UW[[#This Row],[AWA+Leeway]]-Targets_UW[[#This Row],[ROT (deg)]]</f>
        <v>6.4965870033824853</v>
      </c>
      <c r="AB21" s="1">
        <f>Targets_UW[[#This Row],[TWS (km/h)]]*(Targets_UW[[#This Row],[Wing]]/10)^0.1</f>
        <v>31.81621444842056</v>
      </c>
      <c r="AC21" s="1">
        <f>SQRT(Targets_UW[[#This Row],[TWSTop]]^2+Targets_UW[[#This Row],[BSP (km/h)]]^2+2*Targets_UW[[#This Row],[BSP (km/h)]]*Targets_UW[[#This Row],[TWSTop]]*COS(RADIANS(Targets_UW[[#This Row],[TWA (deg)]]+Targets_UW[[#This Row],[LEEWAY (deg)]])))</f>
        <v>85.231681103786428</v>
      </c>
      <c r="AD21" s="1">
        <f>DEGREES(ASIN(Targets_UW[[#This Row],[TWSTop]]*SIN(RADIANS(Targets_UW[[#This Row],[TWA (deg)]]+Targets_UW[[#This Row],[LEEWAY (deg)]]))/Targets_UW[[#This Row],[AWSTop]]))</f>
        <v>15.576397481281395</v>
      </c>
      <c r="AE21" s="1">
        <f>Targets_UW[[#This Row],[AWA+Leeway Top]]-Targets_UW[[#This Row],[ROT (deg)]]</f>
        <v>7.1263974812813959</v>
      </c>
      <c r="AF21" s="1">
        <f>Targets_UW[[#This Row],[CLEW (deg)]]+Targets_UW[[#This Row],[TWIST (deg)]]</f>
        <v>23</v>
      </c>
      <c r="AG21" s="7">
        <f>Targets_UW[[#This Row],[AWA+Leeway Top]]-Targets_UW[[#This Row],[CA6]]</f>
        <v>-7.4236025187186048</v>
      </c>
      <c r="AH21" s="1">
        <f>Targets_UW[[#This Row],[AWA+Leeway]]-Targets_UW[[#This Row],[JibLead (deg)]]</f>
        <v>9.4465870033824846</v>
      </c>
    </row>
    <row r="22" spans="1:34" x14ac:dyDescent="0.25">
      <c r="A22" s="6" t="s">
        <v>32</v>
      </c>
      <c r="B22" t="s">
        <v>33</v>
      </c>
      <c r="C22" t="s">
        <v>34</v>
      </c>
      <c r="D22">
        <v>18</v>
      </c>
      <c r="E22" t="str">
        <f t="shared" si="0"/>
        <v>Foiling_HSB2_HSRW2-18m</v>
      </c>
      <c r="F22">
        <v>32</v>
      </c>
      <c r="G22" s="1">
        <f>ABS(Targets_UW[[#This Row],[BSP (km/h)]]*COS(RADIANS(Targets_UW[[#This Row],[TWA (deg)]]+Targets_UW[[#This Row],[LEEWAY (deg)]])))</f>
        <v>42.77996026178613</v>
      </c>
      <c r="H22" s="1">
        <v>60.5</v>
      </c>
      <c r="I22" s="1">
        <v>44</v>
      </c>
      <c r="J22" s="1">
        <v>1</v>
      </c>
      <c r="K22" s="1">
        <v>-9.9</v>
      </c>
      <c r="L22" s="1">
        <v>1.3</v>
      </c>
      <c r="M22" s="1">
        <f>Targets_UW[[#This Row],[CANT (deg)]]-Targets_UW[[#This Row],[HEEL (deg)]]</f>
        <v>-11.200000000000001</v>
      </c>
      <c r="N22" s="1">
        <v>1100</v>
      </c>
      <c r="O22" s="1">
        <v>1.01</v>
      </c>
      <c r="P22" s="1">
        <v>4</v>
      </c>
      <c r="Q22" s="1">
        <v>-3.2</v>
      </c>
      <c r="R22" s="1">
        <v>-16.7</v>
      </c>
      <c r="S22" s="1">
        <f>Targets_UW[[#This Row],[CLEW (deg)]]-0.5*Targets_UW[[#This Row],[CA1 (deg)]]</f>
        <v>8.85</v>
      </c>
      <c r="T22" s="1">
        <v>0.5</v>
      </c>
      <c r="U22" s="1">
        <v>24</v>
      </c>
      <c r="V22" s="1">
        <v>1900</v>
      </c>
      <c r="W22" s="1">
        <v>5.6</v>
      </c>
      <c r="X22" s="1">
        <v>1700</v>
      </c>
      <c r="Y22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86.1520020472787</v>
      </c>
      <c r="Z22" s="1">
        <f>DEGREES(ASIN(Targets_UW[[#This Row],[TWS (km/h)]]*SIN(RADIANS(Targets_UW[[#This Row],[TWA (deg)]]+Targets_UW[[#This Row],[LEEWAY (deg)]]))/Targets_UW[[#This Row],[AWS]]))</f>
        <v>15.227081982680367</v>
      </c>
      <c r="AA22" s="1">
        <f>Targets_UW[[#This Row],[AWA+Leeway]]-Targets_UW[[#This Row],[ROT (deg)]]</f>
        <v>6.3770819826803677</v>
      </c>
      <c r="AB22" s="1">
        <f>Targets_UW[[#This Row],[TWS (km/h)]]*(Targets_UW[[#This Row],[Wing]]/10)^0.1</f>
        <v>33.937295411648599</v>
      </c>
      <c r="AC22" s="1">
        <f>SQRT(Targets_UW[[#This Row],[TWSTop]]^2+Targets_UW[[#This Row],[BSP (km/h)]]^2+2*Targets_UW[[#This Row],[BSP (km/h)]]*Targets_UW[[#This Row],[TWSTop]]*COS(RADIANS(Targets_UW[[#This Row],[TWA (deg)]]+Targets_UW[[#This Row],[LEEWAY (deg)]])))</f>
        <v>87.838842877528577</v>
      </c>
      <c r="AD22" s="1">
        <f>DEGREES(ASIN(Targets_UW[[#This Row],[TWSTop]]*SIN(RADIANS(Targets_UW[[#This Row],[TWA (deg)]]+Targets_UW[[#This Row],[LEEWAY (deg)]]))/Targets_UW[[#This Row],[AWSTop]]))</f>
        <v>15.854584627689622</v>
      </c>
      <c r="AE22" s="1">
        <f>Targets_UW[[#This Row],[AWA+Leeway Top]]-Targets_UW[[#This Row],[ROT (deg)]]</f>
        <v>7.0045846276896224</v>
      </c>
      <c r="AF22" s="1">
        <f>Targets_UW[[#This Row],[CLEW (deg)]]+Targets_UW[[#This Row],[TWIST (deg)]]</f>
        <v>24.5</v>
      </c>
      <c r="AG22" s="7">
        <f>Targets_UW[[#This Row],[AWA+Leeway Top]]-Targets_UW[[#This Row],[CA6]]</f>
        <v>-8.6454153723103779</v>
      </c>
      <c r="AH22" s="1">
        <f>Targets_UW[[#This Row],[AWA+Leeway]]-Targets_UW[[#This Row],[JibLead (deg)]]</f>
        <v>9.6270819826803677</v>
      </c>
    </row>
    <row r="23" spans="1:34" x14ac:dyDescent="0.25">
      <c r="A23" s="6" t="s">
        <v>32</v>
      </c>
      <c r="B23" t="s">
        <v>33</v>
      </c>
      <c r="C23" t="s">
        <v>34</v>
      </c>
      <c r="D23">
        <v>18</v>
      </c>
      <c r="E23" t="str">
        <f t="shared" si="0"/>
        <v>Foiling_HSB2_HSRW2-18m</v>
      </c>
      <c r="F23">
        <v>34</v>
      </c>
      <c r="G23" s="1">
        <f>ABS(Targets_UW[[#This Row],[BSP (km/h)]]*COS(RADIANS(Targets_UW[[#This Row],[TWA (deg)]]+Targets_UW[[#This Row],[LEEWAY (deg)]])))</f>
        <v>43.805704163554516</v>
      </c>
      <c r="H23" s="1">
        <v>61</v>
      </c>
      <c r="I23" s="1">
        <v>43</v>
      </c>
      <c r="J23" s="1">
        <v>1.1000000000000001</v>
      </c>
      <c r="K23" s="1">
        <v>-9.9</v>
      </c>
      <c r="L23" s="1">
        <v>1.2</v>
      </c>
      <c r="M23" s="1">
        <f>Targets_UW[[#This Row],[CANT (deg)]]-Targets_UW[[#This Row],[HEEL (deg)]]</f>
        <v>-11.1</v>
      </c>
      <c r="N23" s="1">
        <v>1100</v>
      </c>
      <c r="O23" s="1">
        <v>1</v>
      </c>
      <c r="P23" s="1">
        <v>4</v>
      </c>
      <c r="Q23" s="1">
        <v>-3.2</v>
      </c>
      <c r="R23" s="1">
        <v>-16.5</v>
      </c>
      <c r="S23" s="1">
        <f>Targets_UW[[#This Row],[CLEW (deg)]]-0.5*Targets_UW[[#This Row],[CA1 (deg)]]</f>
        <v>9.25</v>
      </c>
      <c r="T23" s="1">
        <v>1</v>
      </c>
      <c r="U23" s="1">
        <v>24.5</v>
      </c>
      <c r="V23" s="1">
        <v>1900</v>
      </c>
      <c r="W23" s="1">
        <v>5.7</v>
      </c>
      <c r="X23" s="1">
        <v>1750</v>
      </c>
      <c r="Y23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88.632882628975281</v>
      </c>
      <c r="Z23" s="1">
        <f>DEGREES(ASIN(Targets_UW[[#This Row],[TWS (km/h)]]*SIN(RADIANS(Targets_UW[[#This Row],[TWA (deg)]]+Targets_UW[[#This Row],[LEEWAY (deg)]]))/Targets_UW[[#This Row],[AWS]]))</f>
        <v>15.483181089952488</v>
      </c>
      <c r="AA23" s="1">
        <f>Targets_UW[[#This Row],[AWA+Leeway]]-Targets_UW[[#This Row],[ROT (deg)]]</f>
        <v>6.2331810899524882</v>
      </c>
      <c r="AB23" s="1">
        <f>Targets_UW[[#This Row],[TWS (km/h)]]*(Targets_UW[[#This Row],[Wing]]/10)^0.1</f>
        <v>36.058376374876637</v>
      </c>
      <c r="AC23" s="1">
        <f>SQRT(Targets_UW[[#This Row],[TWSTop]]^2+Targets_UW[[#This Row],[BSP (km/h)]]^2+2*Targets_UW[[#This Row],[BSP (km/h)]]*Targets_UW[[#This Row],[TWSTop]]*COS(RADIANS(Targets_UW[[#This Row],[TWA (deg)]]+Targets_UW[[#This Row],[LEEWAY (deg)]])))</f>
        <v>90.445185847474264</v>
      </c>
      <c r="AD23" s="1">
        <f>DEGREES(ASIN(Targets_UW[[#This Row],[TWSTop]]*SIN(RADIANS(Targets_UW[[#This Row],[TWA (deg)]]+Targets_UW[[#This Row],[LEEWAY (deg)]]))/Targets_UW[[#This Row],[AWSTop]]))</f>
        <v>16.107721219525647</v>
      </c>
      <c r="AE23" s="1">
        <f>Targets_UW[[#This Row],[AWA+Leeway Top]]-Targets_UW[[#This Row],[ROT (deg)]]</f>
        <v>6.8577212195256472</v>
      </c>
      <c r="AF23" s="1">
        <f>Targets_UW[[#This Row],[CLEW (deg)]]+Targets_UW[[#This Row],[TWIST (deg)]]</f>
        <v>25.5</v>
      </c>
      <c r="AG23" s="7">
        <f>Targets_UW[[#This Row],[AWA+Leeway Top]]-Targets_UW[[#This Row],[CA6]]</f>
        <v>-9.3922787804743528</v>
      </c>
      <c r="AH23" s="1">
        <f>Targets_UW[[#This Row],[AWA+Leeway]]-Targets_UW[[#This Row],[JibLead (deg)]]</f>
        <v>9.7831810899524889</v>
      </c>
    </row>
    <row r="24" spans="1:34" x14ac:dyDescent="0.25">
      <c r="A24" s="6" t="s">
        <v>32</v>
      </c>
      <c r="B24" t="s">
        <v>33</v>
      </c>
      <c r="C24" t="s">
        <v>34</v>
      </c>
      <c r="D24">
        <v>18</v>
      </c>
      <c r="E24" t="str">
        <f t="shared" si="0"/>
        <v>Foiling_HSB2_HSRW2-18m</v>
      </c>
      <c r="F24">
        <v>36</v>
      </c>
      <c r="G24" s="1">
        <f>ABS(Targets_UW[[#This Row],[BSP (km/h)]]*COS(RADIANS(Targets_UW[[#This Row],[TWA (deg)]]+Targets_UW[[#This Row],[LEEWAY (deg)]])))</f>
        <v>44.758673723674669</v>
      </c>
      <c r="H24" s="1">
        <v>61.4</v>
      </c>
      <c r="I24" s="1">
        <v>42</v>
      </c>
      <c r="J24" s="1">
        <v>1.2</v>
      </c>
      <c r="K24" s="1">
        <v>-10</v>
      </c>
      <c r="L24" s="1">
        <v>1.1000000000000001</v>
      </c>
      <c r="M24" s="1">
        <f>Targets_UW[[#This Row],[CANT (deg)]]-Targets_UW[[#This Row],[HEEL (deg)]]</f>
        <v>-11.1</v>
      </c>
      <c r="N24" s="1">
        <v>1100</v>
      </c>
      <c r="O24" s="1">
        <v>0.99</v>
      </c>
      <c r="P24" s="1">
        <v>4</v>
      </c>
      <c r="Q24" s="1">
        <v>-3.2</v>
      </c>
      <c r="R24" s="1">
        <v>-16.399999999999999</v>
      </c>
      <c r="S24" s="1">
        <f>Targets_UW[[#This Row],[CLEW (deg)]]-0.5*Targets_UW[[#This Row],[CA1 (deg)]]</f>
        <v>9.6999999999999993</v>
      </c>
      <c r="T24" s="1">
        <v>1.5</v>
      </c>
      <c r="U24" s="1">
        <v>25</v>
      </c>
      <c r="V24" s="1">
        <v>1900</v>
      </c>
      <c r="W24" s="1">
        <v>5.8</v>
      </c>
      <c r="X24" s="1">
        <v>1800</v>
      </c>
      <c r="Y24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91.041663583793195</v>
      </c>
      <c r="Z24" s="1">
        <f>DEGREES(ASIN(Targets_UW[[#This Row],[TWS (km/h)]]*SIN(RADIANS(Targets_UW[[#This Row],[TWA (deg)]]+Targets_UW[[#This Row],[LEEWAY (deg)]]))/Targets_UW[[#This Row],[AWS]]))</f>
        <v>15.705086728531768</v>
      </c>
      <c r="AA24" s="1">
        <f>Targets_UW[[#This Row],[AWA+Leeway]]-Targets_UW[[#This Row],[ROT (deg)]]</f>
        <v>6.0050867285317686</v>
      </c>
      <c r="AB24" s="1">
        <f>Targets_UW[[#This Row],[TWS (km/h)]]*(Targets_UW[[#This Row],[Wing]]/10)^0.1</f>
        <v>38.179457338104676</v>
      </c>
      <c r="AC24" s="1">
        <f>SQRT(Targets_UW[[#This Row],[TWSTop]]^2+Targets_UW[[#This Row],[BSP (km/h)]]^2+2*Targets_UW[[#This Row],[BSP (km/h)]]*Targets_UW[[#This Row],[TWSTop]]*COS(RADIANS(Targets_UW[[#This Row],[TWA (deg)]]+Targets_UW[[#This Row],[LEEWAY (deg)]])))</f>
        <v>92.980399603994613</v>
      </c>
      <c r="AD24" s="1">
        <f>DEGREES(ASIN(Targets_UW[[#This Row],[TWSTop]]*SIN(RADIANS(Targets_UW[[#This Row],[TWA (deg)]]+Targets_UW[[#This Row],[LEEWAY (deg)]]))/Targets_UW[[#This Row],[AWSTop]]))</f>
        <v>16.325126572226143</v>
      </c>
      <c r="AE24" s="1">
        <f>Targets_UW[[#This Row],[AWA+Leeway Top]]-Targets_UW[[#This Row],[ROT (deg)]]</f>
        <v>6.6251265722261437</v>
      </c>
      <c r="AF24" s="1">
        <f>Targets_UW[[#This Row],[CLEW (deg)]]+Targets_UW[[#This Row],[TWIST (deg)]]</f>
        <v>26.5</v>
      </c>
      <c r="AG24" s="7">
        <f>Targets_UW[[#This Row],[AWA+Leeway Top]]-Targets_UW[[#This Row],[CA6]]</f>
        <v>-10.174873427773857</v>
      </c>
      <c r="AH24" s="1">
        <f>Targets_UW[[#This Row],[AWA+Leeway]]-Targets_UW[[#This Row],[JibLead (deg)]]</f>
        <v>9.9050867285317672</v>
      </c>
    </row>
    <row r="25" spans="1:34" x14ac:dyDescent="0.25">
      <c r="A25" s="6" t="s">
        <v>32</v>
      </c>
      <c r="B25" t="s">
        <v>33</v>
      </c>
      <c r="C25" t="s">
        <v>34</v>
      </c>
      <c r="D25">
        <v>18</v>
      </c>
      <c r="E25" t="str">
        <f t="shared" si="0"/>
        <v>Foiling_HSB2_HSRW2-18m</v>
      </c>
      <c r="F25">
        <v>38</v>
      </c>
      <c r="G25" s="1">
        <f>ABS(Targets_UW[[#This Row],[BSP (km/h)]]*COS(RADIANS(Targets_UW[[#This Row],[TWA (deg)]]+Targets_UW[[#This Row],[LEEWAY (deg)]])))</f>
        <v>45.783164779175948</v>
      </c>
      <c r="H25" s="1">
        <v>61.9</v>
      </c>
      <c r="I25" s="1">
        <v>41</v>
      </c>
      <c r="J25" s="1">
        <v>1.3</v>
      </c>
      <c r="K25" s="1">
        <v>-10</v>
      </c>
      <c r="L25" s="1">
        <v>1</v>
      </c>
      <c r="M25" s="1">
        <f>Targets_UW[[#This Row],[CANT (deg)]]-Targets_UW[[#This Row],[HEEL (deg)]]</f>
        <v>-11</v>
      </c>
      <c r="N25" s="1">
        <v>1100</v>
      </c>
      <c r="O25" s="1">
        <v>0.97</v>
      </c>
      <c r="P25" s="1">
        <v>4</v>
      </c>
      <c r="Q25" s="1">
        <v>-3.2</v>
      </c>
      <c r="R25" s="1">
        <v>-16.3</v>
      </c>
      <c r="S25" s="1">
        <f>Targets_UW[[#This Row],[CLEW (deg)]]-0.5*Targets_UW[[#This Row],[CA1 (deg)]]</f>
        <v>10.15</v>
      </c>
      <c r="T25" s="1">
        <v>2</v>
      </c>
      <c r="U25" s="1">
        <v>25</v>
      </c>
      <c r="V25" s="1">
        <v>1900</v>
      </c>
      <c r="W25" s="1">
        <v>5.9</v>
      </c>
      <c r="X25" s="1">
        <v>1800</v>
      </c>
      <c r="Y25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93.568854450705828</v>
      </c>
      <c r="Z25" s="1">
        <f>DEGREES(ASIN(Targets_UW[[#This Row],[TWS (km/h)]]*SIN(RADIANS(Targets_UW[[#This Row],[TWA (deg)]]+Targets_UW[[#This Row],[LEEWAY (deg)]]))/Targets_UW[[#This Row],[AWS]]))</f>
        <v>15.862072489672292</v>
      </c>
      <c r="AA25" s="1">
        <f>Targets_UW[[#This Row],[AWA+Leeway]]-Targets_UW[[#This Row],[ROT (deg)]]</f>
        <v>5.7120724896722912</v>
      </c>
      <c r="AB25" s="1">
        <f>Targets_UW[[#This Row],[TWS (km/h)]]*(Targets_UW[[#This Row],[Wing]]/10)^0.1</f>
        <v>40.300538301332708</v>
      </c>
      <c r="AC25" s="1">
        <f>SQRT(Targets_UW[[#This Row],[TWSTop]]^2+Targets_UW[[#This Row],[BSP (km/h)]]^2+2*Targets_UW[[#This Row],[BSP (km/h)]]*Targets_UW[[#This Row],[TWSTop]]*COS(RADIANS(Targets_UW[[#This Row],[TWA (deg)]]+Targets_UW[[#This Row],[LEEWAY (deg)]])))</f>
        <v>95.634281295234274</v>
      </c>
      <c r="AD25" s="1">
        <f>DEGREES(ASIN(Targets_UW[[#This Row],[TWSTop]]*SIN(RADIANS(Targets_UW[[#This Row],[TWA (deg)]]+Targets_UW[[#This Row],[LEEWAY (deg)]]))/Targets_UW[[#This Row],[AWSTop]]))</f>
        <v>16.475734560336484</v>
      </c>
      <c r="AE25" s="1">
        <f>Targets_UW[[#This Row],[AWA+Leeway Top]]-Targets_UW[[#This Row],[ROT (deg)]]</f>
        <v>6.3257345603364836</v>
      </c>
      <c r="AF25" s="1">
        <f>Targets_UW[[#This Row],[CLEW (deg)]]+Targets_UW[[#This Row],[TWIST (deg)]]</f>
        <v>27</v>
      </c>
      <c r="AG25" s="7">
        <f>Targets_UW[[#This Row],[AWA+Leeway Top]]-Targets_UW[[#This Row],[CA6]]</f>
        <v>-10.524265439663516</v>
      </c>
      <c r="AH25" s="1">
        <f>Targets_UW[[#This Row],[AWA+Leeway]]-Targets_UW[[#This Row],[JibLead (deg)]]</f>
        <v>9.9620724896722912</v>
      </c>
    </row>
    <row r="26" spans="1:34" x14ac:dyDescent="0.25">
      <c r="A26" s="6" t="s">
        <v>32</v>
      </c>
      <c r="B26" t="s">
        <v>33</v>
      </c>
      <c r="C26" t="s">
        <v>34</v>
      </c>
      <c r="D26">
        <v>18</v>
      </c>
      <c r="E26" t="str">
        <f t="shared" si="0"/>
        <v>Foiling_HSB2_HSRW2-18m</v>
      </c>
      <c r="F26">
        <v>40</v>
      </c>
      <c r="G26" s="1">
        <f>ABS(Targets_UW[[#This Row],[BSP (km/h)]]*COS(RADIANS(Targets_UW[[#This Row],[TWA (deg)]]+Targets_UW[[#This Row],[LEEWAY (deg)]])))</f>
        <v>46.517702380210608</v>
      </c>
      <c r="H26" s="1">
        <v>62.4</v>
      </c>
      <c r="I26" s="1">
        <v>40.5</v>
      </c>
      <c r="J26" s="1">
        <v>1.3</v>
      </c>
      <c r="K26" s="1">
        <v>-10</v>
      </c>
      <c r="L26" s="1">
        <v>0.85</v>
      </c>
      <c r="M26" s="1">
        <f>Targets_UW[[#This Row],[CANT (deg)]]-Targets_UW[[#This Row],[HEEL (deg)]]</f>
        <v>-10.85</v>
      </c>
      <c r="N26" s="1">
        <v>1100</v>
      </c>
      <c r="O26" s="1">
        <v>0.96</v>
      </c>
      <c r="P26" s="1">
        <v>4</v>
      </c>
      <c r="Q26" s="1">
        <v>-3.2</v>
      </c>
      <c r="R26" s="1">
        <v>-16.2</v>
      </c>
      <c r="S26" s="1">
        <f>Targets_UW[[#This Row],[CLEW (deg)]]-0.5*Targets_UW[[#This Row],[CA1 (deg)]]</f>
        <v>10.399999999999999</v>
      </c>
      <c r="T26" s="1">
        <v>2.2999999999999998</v>
      </c>
      <c r="U26" s="1">
        <v>25</v>
      </c>
      <c r="V26" s="1">
        <v>1900</v>
      </c>
      <c r="W26" s="1">
        <v>6</v>
      </c>
      <c r="X26" s="1">
        <v>1800</v>
      </c>
      <c r="Y26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95.995709229198624</v>
      </c>
      <c r="Z26" s="1">
        <f>DEGREES(ASIN(Targets_UW[[#This Row],[TWS (km/h)]]*SIN(RADIANS(Targets_UW[[#This Row],[TWA (deg)]]+Targets_UW[[#This Row],[LEEWAY (deg)]]))/Targets_UW[[#This Row],[AWS]]))</f>
        <v>16.125025658268886</v>
      </c>
      <c r="AA26" s="1">
        <f>Targets_UW[[#This Row],[AWA+Leeway]]-Targets_UW[[#This Row],[ROT (deg)]]</f>
        <v>5.725025658268887</v>
      </c>
      <c r="AB26" s="1">
        <f>Targets_UW[[#This Row],[TWS (km/h)]]*(Targets_UW[[#This Row],[Wing]]/10)^0.1</f>
        <v>42.421619264560746</v>
      </c>
      <c r="AC26" s="1">
        <f>SQRT(Targets_UW[[#This Row],[TWSTop]]^2+Targets_UW[[#This Row],[BSP (km/h)]]^2+2*Targets_UW[[#This Row],[BSP (km/h)]]*Targets_UW[[#This Row],[TWSTop]]*COS(RADIANS(Targets_UW[[#This Row],[TWA (deg)]]+Targets_UW[[#This Row],[LEEWAY (deg)]])))</f>
        <v>98.183839301069511</v>
      </c>
      <c r="AD26" s="1">
        <f>DEGREES(ASIN(Targets_UW[[#This Row],[TWSTop]]*SIN(RADIANS(Targets_UW[[#This Row],[TWA (deg)]]+Targets_UW[[#This Row],[LEEWAY (deg)]]))/Targets_UW[[#This Row],[AWSTop]]))</f>
        <v>16.737306724637055</v>
      </c>
      <c r="AE26" s="1">
        <f>Targets_UW[[#This Row],[AWA+Leeway Top]]-Targets_UW[[#This Row],[ROT (deg)]]</f>
        <v>6.337306724637056</v>
      </c>
      <c r="AF26" s="1">
        <f>Targets_UW[[#This Row],[CLEW (deg)]]+Targets_UW[[#This Row],[TWIST (deg)]]</f>
        <v>27.3</v>
      </c>
      <c r="AG26" s="7">
        <f>Targets_UW[[#This Row],[AWA+Leeway Top]]-Targets_UW[[#This Row],[CA6]]</f>
        <v>-10.562693275362946</v>
      </c>
      <c r="AH26" s="1">
        <f>Targets_UW[[#This Row],[AWA+Leeway]]-Targets_UW[[#This Row],[JibLead (deg)]]</f>
        <v>10.125025658268886</v>
      </c>
    </row>
    <row r="27" spans="1:34" x14ac:dyDescent="0.25">
      <c r="A27" s="6" t="s">
        <v>32</v>
      </c>
      <c r="B27" t="s">
        <v>33</v>
      </c>
      <c r="C27" t="s">
        <v>34</v>
      </c>
      <c r="D27">
        <v>18</v>
      </c>
      <c r="E27" t="str">
        <f t="shared" si="0"/>
        <v>Foiling_HSB2_HSRW2-18m</v>
      </c>
      <c r="F27">
        <v>42</v>
      </c>
      <c r="G27" s="1">
        <f>ABS(Targets_UW[[#This Row],[BSP (km/h)]]*COS(RADIANS(Targets_UW[[#This Row],[TWA (deg)]]+Targets_UW[[#This Row],[LEEWAY (deg)]])))</f>
        <v>46.959523693470437</v>
      </c>
      <c r="H27" s="1">
        <v>62.7</v>
      </c>
      <c r="I27" s="1">
        <v>40.200000000000003</v>
      </c>
      <c r="J27" s="1">
        <v>1.3</v>
      </c>
      <c r="K27" s="1">
        <v>-10</v>
      </c>
      <c r="L27" s="1">
        <v>0.7</v>
      </c>
      <c r="M27" s="1">
        <f>Targets_UW[[#This Row],[CANT (deg)]]-Targets_UW[[#This Row],[HEEL (deg)]]</f>
        <v>-10.7</v>
      </c>
      <c r="N27" s="1">
        <v>1100</v>
      </c>
      <c r="O27" s="1">
        <v>0.95</v>
      </c>
      <c r="P27" s="1">
        <v>4</v>
      </c>
      <c r="Q27" s="1">
        <v>-3.2</v>
      </c>
      <c r="R27" s="1">
        <v>-16.100000000000001</v>
      </c>
      <c r="S27" s="1">
        <f>Targets_UW[[#This Row],[CLEW (deg)]]-0.5*Targets_UW[[#This Row],[CA1 (deg)]]</f>
        <v>10.450000000000001</v>
      </c>
      <c r="T27" s="1">
        <v>2.4</v>
      </c>
      <c r="U27" s="1">
        <v>25</v>
      </c>
      <c r="V27" s="1">
        <v>1900</v>
      </c>
      <c r="W27" s="1">
        <v>6.1</v>
      </c>
      <c r="X27" s="1">
        <v>1800</v>
      </c>
      <c r="Y27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98.182941442246062</v>
      </c>
      <c r="Z27" s="1">
        <f>DEGREES(ASIN(Targets_UW[[#This Row],[TWS (km/h)]]*SIN(RADIANS(Targets_UW[[#This Row],[TWA (deg)]]+Targets_UW[[#This Row],[LEEWAY (deg)]]))/Targets_UW[[#This Row],[AWS]]))</f>
        <v>16.466272994217629</v>
      </c>
      <c r="AA27" s="1">
        <f>Targets_UW[[#This Row],[AWA+Leeway]]-Targets_UW[[#This Row],[ROT (deg)]]</f>
        <v>6.0162729942176281</v>
      </c>
      <c r="AB27" s="1">
        <f>Targets_UW[[#This Row],[TWS (km/h)]]*(Targets_UW[[#This Row],[Wing]]/10)^0.1</f>
        <v>44.542700227788785</v>
      </c>
      <c r="AC27" s="1">
        <f>SQRT(Targets_UW[[#This Row],[TWSTop]]^2+Targets_UW[[#This Row],[BSP (km/h)]]^2+2*Targets_UW[[#This Row],[BSP (km/h)]]*Targets_UW[[#This Row],[TWSTop]]*COS(RADIANS(Targets_UW[[#This Row],[TWA (deg)]]+Targets_UW[[#This Row],[LEEWAY (deg)]])))</f>
        <v>100.49253761856475</v>
      </c>
      <c r="AD27" s="1">
        <f>DEGREES(ASIN(Targets_UW[[#This Row],[TWSTop]]*SIN(RADIANS(Targets_UW[[#This Row],[TWA (deg)]]+Targets_UW[[#This Row],[LEEWAY (deg)]]))/Targets_UW[[#This Row],[AWSTop]]))</f>
        <v>17.079735964146298</v>
      </c>
      <c r="AE27" s="1">
        <f>Targets_UW[[#This Row],[AWA+Leeway Top]]-Targets_UW[[#This Row],[ROT (deg)]]</f>
        <v>6.6297359641462972</v>
      </c>
      <c r="AF27" s="1">
        <f>Targets_UW[[#This Row],[CLEW (deg)]]+Targets_UW[[#This Row],[TWIST (deg)]]</f>
        <v>27.4</v>
      </c>
      <c r="AG27" s="7">
        <f>Targets_UW[[#This Row],[AWA+Leeway Top]]-Targets_UW[[#This Row],[CA6]]</f>
        <v>-10.3202640358537</v>
      </c>
      <c r="AH27" s="1">
        <f>Targets_UW[[#This Row],[AWA+Leeway]]-Targets_UW[[#This Row],[JibLead (deg)]]</f>
        <v>10.366272994217629</v>
      </c>
    </row>
    <row r="28" spans="1:34" ht="15.75" thickBot="1" x14ac:dyDescent="0.3">
      <c r="A28" s="8" t="s">
        <v>32</v>
      </c>
      <c r="B28" s="9" t="s">
        <v>33</v>
      </c>
      <c r="C28" s="9" t="s">
        <v>34</v>
      </c>
      <c r="D28" s="9">
        <v>18</v>
      </c>
      <c r="E28" s="9" t="str">
        <f t="shared" si="0"/>
        <v>Foiling_HSB2_HSRW2-18m</v>
      </c>
      <c r="F28" s="9">
        <v>44</v>
      </c>
      <c r="G28" s="10">
        <f>ABS(Targets_UW[[#This Row],[BSP (km/h)]]*COS(RADIANS(Targets_UW[[#This Row],[TWA (deg)]]+Targets_UW[[#This Row],[LEEWAY (deg)]])))</f>
        <v>47.329640410721204</v>
      </c>
      <c r="H28" s="10">
        <v>63</v>
      </c>
      <c r="I28" s="10">
        <v>40</v>
      </c>
      <c r="J28" s="10">
        <v>1.3</v>
      </c>
      <c r="K28" s="10">
        <v>-10</v>
      </c>
      <c r="L28" s="10">
        <v>0.5</v>
      </c>
      <c r="M28" s="10">
        <f>Targets_UW[[#This Row],[CANT (deg)]]-Targets_UW[[#This Row],[HEEL (deg)]]</f>
        <v>-10.5</v>
      </c>
      <c r="N28" s="10">
        <v>1100</v>
      </c>
      <c r="O28" s="10">
        <v>0.94</v>
      </c>
      <c r="P28" s="10">
        <v>4</v>
      </c>
      <c r="Q28" s="1">
        <v>-3.2</v>
      </c>
      <c r="R28" s="10">
        <v>-16</v>
      </c>
      <c r="S28" s="10">
        <f>Targets_UW[[#This Row],[CLEW (deg)]]-0.5*Targets_UW[[#This Row],[CA1 (deg)]]</f>
        <v>10.5</v>
      </c>
      <c r="T28" s="10">
        <v>2.5</v>
      </c>
      <c r="U28" s="10">
        <v>25</v>
      </c>
      <c r="V28" s="10">
        <v>1900</v>
      </c>
      <c r="W28" s="10">
        <v>6.2</v>
      </c>
      <c r="X28" s="10">
        <v>1800</v>
      </c>
      <c r="Y28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100.34943126965626</v>
      </c>
      <c r="Z28" s="10">
        <f>DEGREES(ASIN(Targets_UW[[#This Row],[TWS (km/h)]]*SIN(RADIANS(Targets_UW[[#This Row],[TWA (deg)]]+Targets_UW[[#This Row],[LEEWAY (deg)]]))/Targets_UW[[#This Row],[AWS]]))</f>
        <v>16.821410797767985</v>
      </c>
      <c r="AA28" s="10">
        <f>Targets_UW[[#This Row],[AWA+Leeway]]-Targets_UW[[#This Row],[ROT (deg)]]</f>
        <v>6.3214107977679852</v>
      </c>
      <c r="AB28" s="10">
        <f>Targets_UW[[#This Row],[TWS (km/h)]]*(Targets_UW[[#This Row],[Wing]]/10)^0.1</f>
        <v>46.663781191016824</v>
      </c>
      <c r="AC28" s="10">
        <f>SQRT(Targets_UW[[#This Row],[TWSTop]]^2+Targets_UW[[#This Row],[BSP (km/h)]]^2+2*Targets_UW[[#This Row],[BSP (km/h)]]*Targets_UW[[#This Row],[TWSTop]]*COS(RADIANS(Targets_UW[[#This Row],[TWA (deg)]]+Targets_UW[[#This Row],[LEEWAY (deg)]])))</f>
        <v>102.77970832316026</v>
      </c>
      <c r="AD28" s="10">
        <f>DEGREES(ASIN(Targets_UW[[#This Row],[TWSTop]]*SIN(RADIANS(Targets_UW[[#This Row],[TWA (deg)]]+Targets_UW[[#This Row],[LEEWAY (deg)]]))/Targets_UW[[#This Row],[AWSTop]]))</f>
        <v>17.436719156016284</v>
      </c>
      <c r="AE28" s="10">
        <f>Targets_UW[[#This Row],[AWA+Leeway Top]]-Targets_UW[[#This Row],[ROT (deg)]]</f>
        <v>6.9367191560162844</v>
      </c>
      <c r="AF28" s="10">
        <f>Targets_UW[[#This Row],[CLEW (deg)]]+Targets_UW[[#This Row],[TWIST (deg)]]</f>
        <v>27.5</v>
      </c>
      <c r="AG28" s="11">
        <f>Targets_UW[[#This Row],[AWA+Leeway Top]]-Targets_UW[[#This Row],[CA6]]</f>
        <v>-10.063280843983716</v>
      </c>
      <c r="AH28" s="1">
        <f>Targets_UW[[#This Row],[AWA+Leeway]]-Targets_UW[[#This Row],[JibLead (deg)]]</f>
        <v>10.621410797767986</v>
      </c>
    </row>
    <row r="29" spans="1:34" x14ac:dyDescent="0.25">
      <c r="A29" s="2" t="s">
        <v>32</v>
      </c>
      <c r="B29" s="3" t="s">
        <v>33</v>
      </c>
      <c r="C29" s="3" t="s">
        <v>36</v>
      </c>
      <c r="D29" s="3">
        <v>24</v>
      </c>
      <c r="E29" s="3" t="str">
        <f t="shared" si="0"/>
        <v>Foiling_HSB2_LARW2-24m</v>
      </c>
      <c r="F29" s="3">
        <v>14</v>
      </c>
      <c r="G29" s="4">
        <f>ABS(Targets_UW[[#This Row],[BSP (km/h)]]*COS(RADIANS(Targets_UW[[#This Row],[TWA (deg)]]+Targets_UW[[#This Row],[LEEWAY (deg)]])))</f>
        <v>14.326935088135476</v>
      </c>
      <c r="H29" s="4">
        <f>0.7*H2+0.3*H43</f>
        <v>44.4</v>
      </c>
      <c r="I29" s="4">
        <f>0.9*I2+0.1*I43</f>
        <v>68.7</v>
      </c>
      <c r="J29" s="4">
        <f>0.75*J2+0.25*J43</f>
        <v>2.4749999999999996</v>
      </c>
      <c r="K29" s="4">
        <v>2.9499999999999993</v>
      </c>
      <c r="L29" s="4">
        <v>1</v>
      </c>
      <c r="M29" s="4">
        <f>Targets_UW[[#This Row],[CANT (deg)]]-Targets_UW[[#This Row],[HEEL (deg)]]</f>
        <v>1.9499999999999993</v>
      </c>
      <c r="N29" s="4">
        <f>N2</f>
        <v>1180</v>
      </c>
      <c r="O29" s="4">
        <v>1.8</v>
      </c>
      <c r="P29" s="4">
        <v>4</v>
      </c>
      <c r="Q29" s="4">
        <f t="shared" ref="Q29:R33" si="3">0.75*Q2+0.25*Q43</f>
        <v>-3.2750000000000004</v>
      </c>
      <c r="R29" s="4">
        <f t="shared" si="3"/>
        <v>-19.100000000000001</v>
      </c>
      <c r="S29" s="4">
        <f>Targets_UW[[#This Row],[CLEW (deg)]]-0.5*Targets_UW[[#This Row],[CA1 (deg)]]</f>
        <v>8.1750000000000007</v>
      </c>
      <c r="T29" s="4">
        <f>0.75*T2+0.25*T43</f>
        <v>-1.375</v>
      </c>
      <c r="U29" s="4">
        <v>21</v>
      </c>
      <c r="V29" s="4">
        <v>500</v>
      </c>
      <c r="W29" s="4">
        <f>0.75*W2+0.25*W43</f>
        <v>5.4749999999999996</v>
      </c>
      <c r="X29" s="4"/>
      <c r="Y29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50.68051087417917</v>
      </c>
      <c r="Z29" s="4">
        <f>DEGREES(ASIN(Targets_UW[[#This Row],[TWS (km/h)]]*SIN(RADIANS(Targets_UW[[#This Row],[TWA (deg)]]+Targets_UW[[#This Row],[LEEWAY (deg)]]))/Targets_UW[[#This Row],[AWS]]))</f>
        <v>15.156937546551388</v>
      </c>
      <c r="AA29" s="4">
        <f>Targets_UW[[#This Row],[AWA+Leeway]]-Targets_UW[[#This Row],[ROT (deg)]]</f>
        <v>6.9819375465513875</v>
      </c>
      <c r="AB29" s="4">
        <f>Targets_UW[[#This Row],[TWS (km/h)]]*(Targets_UW[[#This Row],[Wing]]/10)^0.1</f>
        <v>15.280907958650557</v>
      </c>
      <c r="AC29" s="4">
        <f>SQRT(Targets_UW[[#This Row],[TWSTop]]^2+Targets_UW[[#This Row],[BSP (km/h)]]^2+2*Targets_UW[[#This Row],[BSP (km/h)]]*Targets_UW[[#This Row],[TWSTop]]*COS(RADIANS(Targets_UW[[#This Row],[TWA (deg)]]+Targets_UW[[#This Row],[LEEWAY (deg)]])))</f>
        <v>51.407424569447834</v>
      </c>
      <c r="AD29" s="4">
        <f>DEGREES(ASIN(Targets_UW[[#This Row],[TWSTop]]*SIN(RADIANS(Targets_UW[[#This Row],[TWA (deg)]]+Targets_UW[[#This Row],[LEEWAY (deg)]]))/Targets_UW[[#This Row],[AWSTop]]))</f>
        <v>16.34082970376701</v>
      </c>
      <c r="AE29" s="4">
        <f>Targets_UW[[#This Row],[AWA+Leeway Top]]-Targets_UW[[#This Row],[ROT (deg)]]</f>
        <v>8.1658297037670096</v>
      </c>
      <c r="AF29" s="4">
        <f>Targets_UW[[#This Row],[CLEW (deg)]]+Targets_UW[[#This Row],[TWIST (deg)]]</f>
        <v>19.625</v>
      </c>
      <c r="AG29" s="5">
        <f>Targets_UW[[#This Row],[AWA+Leeway Top]]-Targets_UW[[#This Row],[CA6]]</f>
        <v>-3.2841702962329897</v>
      </c>
      <c r="AH29" s="1">
        <f>Targets_UW[[#This Row],[AWA+Leeway]]-Targets_UW[[#This Row],[JibLead (deg)]]</f>
        <v>9.6819375465513886</v>
      </c>
    </row>
    <row r="30" spans="1:34" x14ac:dyDescent="0.25">
      <c r="A30" s="6" t="s">
        <v>32</v>
      </c>
      <c r="B30" t="s">
        <v>33</v>
      </c>
      <c r="C30" t="s">
        <v>36</v>
      </c>
      <c r="D30">
        <v>24</v>
      </c>
      <c r="E30" t="str">
        <f t="shared" si="0"/>
        <v>Foiling_HSB2_LARW2-24m</v>
      </c>
      <c r="F30">
        <v>16</v>
      </c>
      <c r="G30" s="1">
        <f>ABS(Targets_UW[[#This Row],[BSP (km/h)]]*COS(RADIANS(Targets_UW[[#This Row],[TWA (deg)]]+Targets_UW[[#This Row],[LEEWAY (deg)]])))</f>
        <v>19.679829608980203</v>
      </c>
      <c r="H30" s="1">
        <f>0.7*H3+0.3*H44</f>
        <v>46.05</v>
      </c>
      <c r="I30" s="1">
        <f>0.9*I3+0.1*I44</f>
        <v>62.35</v>
      </c>
      <c r="J30" s="1">
        <f>0.75*J3+0.25*J44</f>
        <v>2.3499999999999996</v>
      </c>
      <c r="K30" s="1">
        <v>1.1999999999999993</v>
      </c>
      <c r="L30" s="1">
        <v>1</v>
      </c>
      <c r="M30" s="1">
        <f>Targets_UW[[#This Row],[CANT (deg)]]-Targets_UW[[#This Row],[HEEL (deg)]]</f>
        <v>0.19999999999999929</v>
      </c>
      <c r="N30" s="1">
        <f>N3</f>
        <v>1175</v>
      </c>
      <c r="O30" s="1">
        <v>1.5</v>
      </c>
      <c r="P30" s="1">
        <v>3.9</v>
      </c>
      <c r="Q30" s="1">
        <f t="shared" si="3"/>
        <v>-3.2750000000000004</v>
      </c>
      <c r="R30" s="1">
        <f t="shared" si="3"/>
        <v>-19</v>
      </c>
      <c r="S30" s="1">
        <f>Targets_UW[[#This Row],[CLEW (deg)]]-0.5*Targets_UW[[#This Row],[CA1 (deg)]]</f>
        <v>8.65</v>
      </c>
      <c r="T30" s="1">
        <f>0.75*T3+0.25*T44</f>
        <v>-0.85000000000000009</v>
      </c>
      <c r="U30" s="1">
        <v>24</v>
      </c>
      <c r="V30" s="1">
        <v>750</v>
      </c>
      <c r="W30" s="1">
        <f>0.75*W3+0.25*W44</f>
        <v>5.5750000000000002</v>
      </c>
      <c r="X30" s="1"/>
      <c r="Y30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54.83025667902136</v>
      </c>
      <c r="Z30" s="1">
        <f>DEGREES(ASIN(Targets_UW[[#This Row],[TWS (km/h)]]*SIN(RADIANS(Targets_UW[[#This Row],[TWA (deg)]]+Targets_UW[[#This Row],[LEEWAY (deg)]]))/Targets_UW[[#This Row],[AWS]]))</f>
        <v>15.296851480982648</v>
      </c>
      <c r="AA30" s="1">
        <f>Targets_UW[[#This Row],[AWA+Leeway]]-Targets_UW[[#This Row],[ROT (deg)]]</f>
        <v>6.6468514809826473</v>
      </c>
      <c r="AB30" s="1">
        <f>Targets_UW[[#This Row],[TWS (km/h)]]*(Targets_UW[[#This Row],[Wing]]/10)^0.1</f>
        <v>17.463894809886352</v>
      </c>
      <c r="AC30" s="1">
        <f>SQRT(Targets_UW[[#This Row],[TWSTop]]^2+Targets_UW[[#This Row],[BSP (km/h)]]^2+2*Targets_UW[[#This Row],[BSP (km/h)]]*Targets_UW[[#This Row],[TWSTop]]*COS(RADIANS(Targets_UW[[#This Row],[TWA (deg)]]+Targets_UW[[#This Row],[LEEWAY (deg)]])))</f>
        <v>55.793933991664446</v>
      </c>
      <c r="AD30" s="1">
        <f>DEGREES(ASIN(Targets_UW[[#This Row],[TWSTop]]*SIN(RADIANS(Targets_UW[[#This Row],[TWA (deg)]]+Targets_UW[[#This Row],[LEEWAY (deg)]]))/Targets_UW[[#This Row],[AWSTop]]))</f>
        <v>16.438392953485387</v>
      </c>
      <c r="AE30" s="1">
        <f>Targets_UW[[#This Row],[AWA+Leeway Top]]-Targets_UW[[#This Row],[ROT (deg)]]</f>
        <v>7.7883929534853866</v>
      </c>
      <c r="AF30" s="1">
        <f>Targets_UW[[#This Row],[CLEW (deg)]]+Targets_UW[[#This Row],[TWIST (deg)]]</f>
        <v>23.15</v>
      </c>
      <c r="AG30" s="7">
        <f>Targets_UW[[#This Row],[AWA+Leeway Top]]-Targets_UW[[#This Row],[CA6]]</f>
        <v>-6.7116070465146116</v>
      </c>
      <c r="AH30" s="1">
        <f>Targets_UW[[#This Row],[AWA+Leeway]]-Targets_UW[[#This Row],[JibLead (deg)]]</f>
        <v>9.7218514809826466</v>
      </c>
    </row>
    <row r="31" spans="1:34" x14ac:dyDescent="0.25">
      <c r="A31" s="6" t="s">
        <v>32</v>
      </c>
      <c r="B31" t="s">
        <v>33</v>
      </c>
      <c r="C31" t="s">
        <v>36</v>
      </c>
      <c r="D31">
        <v>24</v>
      </c>
      <c r="E31" t="str">
        <f t="shared" si="0"/>
        <v>Foiling_HSB2_LARW2-24m</v>
      </c>
      <c r="F31">
        <v>18</v>
      </c>
      <c r="G31" s="1">
        <f>ABS(Targets_UW[[#This Row],[BSP (km/h)]]*COS(RADIANS(Targets_UW[[#This Row],[TWA (deg)]]+Targets_UW[[#This Row],[LEEWAY (deg)]])))</f>
        <v>24.137190938104229</v>
      </c>
      <c r="H31" s="1">
        <f>0.7*H4+0.3*H45</f>
        <v>48.099999999999994</v>
      </c>
      <c r="I31" s="1">
        <f>0.9*I4+0.1*I45</f>
        <v>57.730000000000004</v>
      </c>
      <c r="J31" s="1">
        <f>0.75*J4+0.25*J45</f>
        <v>2.1500000000000004</v>
      </c>
      <c r="K31" s="1">
        <v>-0.29000000000000004</v>
      </c>
      <c r="L31" s="1">
        <v>1</v>
      </c>
      <c r="M31" s="1">
        <f>Targets_UW[[#This Row],[CANT (deg)]]-Targets_UW[[#This Row],[HEEL (deg)]]</f>
        <v>-1.29</v>
      </c>
      <c r="N31" s="1">
        <f>N4</f>
        <v>1170</v>
      </c>
      <c r="O31" s="1">
        <v>1.2</v>
      </c>
      <c r="P31" s="1">
        <v>3.8</v>
      </c>
      <c r="Q31" s="1">
        <f t="shared" si="3"/>
        <v>-3.2750000000000004</v>
      </c>
      <c r="R31" s="1">
        <f t="shared" si="3"/>
        <v>-18.545213820000072</v>
      </c>
      <c r="S31" s="1">
        <f>Targets_UW[[#This Row],[CLEW (deg)]]-0.5*Targets_UW[[#This Row],[CA1 (deg)]]</f>
        <v>8.6976069100000366</v>
      </c>
      <c r="T31" s="1">
        <f>0.75*T4+0.25*T45</f>
        <v>-0.57499999999999996</v>
      </c>
      <c r="U31" s="1">
        <v>26</v>
      </c>
      <c r="V31" s="1">
        <v>1050</v>
      </c>
      <c r="W31" s="1">
        <f>0.75*W4+0.25*W45</f>
        <v>5.65</v>
      </c>
      <c r="X31" s="1"/>
      <c r="Y31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59.216120049964026</v>
      </c>
      <c r="Z31" s="1">
        <f>DEGREES(ASIN(Targets_UW[[#This Row],[TWS (km/h)]]*SIN(RADIANS(Targets_UW[[#This Row],[TWA (deg)]]+Targets_UW[[#This Row],[LEEWAY (deg)]]))/Targets_UW[[#This Row],[AWS]]))</f>
        <v>15.243868014316126</v>
      </c>
      <c r="AA31" s="1">
        <f>Targets_UW[[#This Row],[AWA+Leeway]]-Targets_UW[[#This Row],[ROT (deg)]]</f>
        <v>6.5462611043160894</v>
      </c>
      <c r="AB31" s="1">
        <f>Targets_UW[[#This Row],[TWS (km/h)]]*(Targets_UW[[#This Row],[Wing]]/10)^0.1</f>
        <v>19.646881661122144</v>
      </c>
      <c r="AC31" s="1">
        <f>SQRT(Targets_UW[[#This Row],[TWSTop]]^2+Targets_UW[[#This Row],[BSP (km/h)]]^2+2*Targets_UW[[#This Row],[BSP (km/h)]]*Targets_UW[[#This Row],[TWSTop]]*COS(RADIANS(Targets_UW[[#This Row],[TWA (deg)]]+Targets_UW[[#This Row],[LEEWAY (deg)]])))</f>
        <v>60.399097898824813</v>
      </c>
      <c r="AD31" s="1">
        <f>DEGREES(ASIN(Targets_UW[[#This Row],[TWSTop]]*SIN(RADIANS(Targets_UW[[#This Row],[TWA (deg)]]+Targets_UW[[#This Row],[LEEWAY (deg)]]))/Targets_UW[[#This Row],[AWSTop]]))</f>
        <v>16.341585248641668</v>
      </c>
      <c r="AE31" s="1">
        <f>Targets_UW[[#This Row],[AWA+Leeway Top]]-Targets_UW[[#This Row],[ROT (deg)]]</f>
        <v>7.6439783386416309</v>
      </c>
      <c r="AF31" s="1">
        <f>Targets_UW[[#This Row],[CLEW (deg)]]+Targets_UW[[#This Row],[TWIST (deg)]]</f>
        <v>25.425000000000001</v>
      </c>
      <c r="AG31" s="7">
        <f>Targets_UW[[#This Row],[AWA+Leeway Top]]-Targets_UW[[#This Row],[CA6]]</f>
        <v>-9.0834147513583332</v>
      </c>
      <c r="AH31" s="1">
        <f>Targets_UW[[#This Row],[AWA+Leeway]]-Targets_UW[[#This Row],[JibLead (deg)]]</f>
        <v>9.5938680143161257</v>
      </c>
    </row>
    <row r="32" spans="1:34" x14ac:dyDescent="0.25">
      <c r="A32" s="6" t="s">
        <v>32</v>
      </c>
      <c r="B32" t="s">
        <v>33</v>
      </c>
      <c r="C32" t="s">
        <v>36</v>
      </c>
      <c r="D32">
        <v>24</v>
      </c>
      <c r="E32" t="str">
        <f t="shared" si="0"/>
        <v>Foiling_HSB2_LARW2-24m</v>
      </c>
      <c r="F32">
        <v>20</v>
      </c>
      <c r="G32" s="1">
        <f>ABS(Targets_UW[[#This Row],[BSP (km/h)]]*COS(RADIANS(Targets_UW[[#This Row],[TWA (deg)]]+Targets_UW[[#This Row],[LEEWAY (deg)]])))</f>
        <v>28.272706873474242</v>
      </c>
      <c r="H32" s="1">
        <f>0.7*H5+0.3*H46</f>
        <v>50.174282985999923</v>
      </c>
      <c r="I32" s="1">
        <f>0.9*I5+0.1*I46</f>
        <v>53.74</v>
      </c>
      <c r="J32" s="1">
        <f>0.75*J5+0.25*J46</f>
        <v>1.9624999999999999</v>
      </c>
      <c r="K32" s="1">
        <v>-1.9300000000000002</v>
      </c>
      <c r="L32" s="1">
        <v>1</v>
      </c>
      <c r="M32" s="1">
        <f>Targets_UW[[#This Row],[CANT (deg)]]-Targets_UW[[#This Row],[HEEL (deg)]]</f>
        <v>-2.93</v>
      </c>
      <c r="N32" s="1">
        <f>N5</f>
        <v>1165</v>
      </c>
      <c r="O32" s="1">
        <v>0.9</v>
      </c>
      <c r="P32" s="1">
        <v>3.6</v>
      </c>
      <c r="Q32" s="1">
        <f t="shared" si="3"/>
        <v>-3.4249999999999998</v>
      </c>
      <c r="R32" s="1">
        <f t="shared" si="3"/>
        <v>-17.999498749999926</v>
      </c>
      <c r="S32" s="1">
        <f>Targets_UW[[#This Row],[CLEW (deg)]]-0.5*Targets_UW[[#This Row],[CA1 (deg)]]</f>
        <v>8.6872493749999631</v>
      </c>
      <c r="T32" s="1">
        <f>0.75*T5+0.25*T46</f>
        <v>-0.3125</v>
      </c>
      <c r="U32" s="1">
        <v>28</v>
      </c>
      <c r="V32" s="1">
        <v>1250</v>
      </c>
      <c r="W32" s="1">
        <f>0.75*W5+0.25*W46</f>
        <v>5.7249999999999996</v>
      </c>
      <c r="X32" s="1"/>
      <c r="Y32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63.626778545657729</v>
      </c>
      <c r="Z32" s="1">
        <f>DEGREES(ASIN(Targets_UW[[#This Row],[TWS (km/h)]]*SIN(RADIANS(Targets_UW[[#This Row],[TWA (deg)]]+Targets_UW[[#This Row],[LEEWAY (deg)]]))/Targets_UW[[#This Row],[AWS]]))</f>
        <v>15.050940856956899</v>
      </c>
      <c r="AA32" s="1">
        <f>Targets_UW[[#This Row],[AWA+Leeway]]-Targets_UW[[#This Row],[ROT (deg)]]</f>
        <v>6.3636914819569359</v>
      </c>
      <c r="AB32" s="1">
        <f>Targets_UW[[#This Row],[TWS (km/h)]]*(Targets_UW[[#This Row],[Wing]]/10)^0.1</f>
        <v>21.82986851235794</v>
      </c>
      <c r="AC32" s="1">
        <f>SQRT(Targets_UW[[#This Row],[TWSTop]]^2+Targets_UW[[#This Row],[BSP (km/h)]]^2+2*Targets_UW[[#This Row],[BSP (km/h)]]*Targets_UW[[#This Row],[TWSTop]]*COS(RADIANS(Targets_UW[[#This Row],[TWA (deg)]]+Targets_UW[[#This Row],[LEEWAY (deg)]])))</f>
        <v>65.026000795826292</v>
      </c>
      <c r="AD32" s="1">
        <f>DEGREES(ASIN(Targets_UW[[#This Row],[TWSTop]]*SIN(RADIANS(Targets_UW[[#This Row],[TWA (deg)]]+Targets_UW[[#This Row],[LEEWAY (deg)]]))/Targets_UW[[#This Row],[AWSTop]]))</f>
        <v>16.101367410408539</v>
      </c>
      <c r="AE32" s="1">
        <f>Targets_UW[[#This Row],[AWA+Leeway Top]]-Targets_UW[[#This Row],[ROT (deg)]]</f>
        <v>7.4141180354085758</v>
      </c>
      <c r="AF32" s="1">
        <f>Targets_UW[[#This Row],[CLEW (deg)]]+Targets_UW[[#This Row],[TWIST (deg)]]</f>
        <v>27.6875</v>
      </c>
      <c r="AG32" s="7">
        <f>Targets_UW[[#This Row],[AWA+Leeway Top]]-Targets_UW[[#This Row],[CA6]]</f>
        <v>-11.586132589591461</v>
      </c>
      <c r="AH32" s="1">
        <f>Targets_UW[[#This Row],[AWA+Leeway]]-Targets_UW[[#This Row],[JibLead (deg)]]</f>
        <v>9.3259408569568993</v>
      </c>
    </row>
    <row r="33" spans="1:34" ht="15.75" thickBot="1" x14ac:dyDescent="0.3">
      <c r="A33" s="8" t="s">
        <v>32</v>
      </c>
      <c r="B33" s="9" t="s">
        <v>33</v>
      </c>
      <c r="C33" s="9" t="s">
        <v>36</v>
      </c>
      <c r="D33" s="9">
        <v>24</v>
      </c>
      <c r="E33" s="9" t="str">
        <f t="shared" si="0"/>
        <v>Foiling_HSB2_LARW2-24m</v>
      </c>
      <c r="F33" s="9">
        <v>22</v>
      </c>
      <c r="G33" s="10">
        <f>ABS(Targets_UW[[#This Row],[BSP (km/h)]]*COS(RADIANS(Targets_UW[[#This Row],[TWA (deg)]]+Targets_UW[[#This Row],[LEEWAY (deg)]])))</f>
        <v>30.870054625786349</v>
      </c>
      <c r="H33" s="10">
        <f>0.7*H6+0.3*H47</f>
        <v>52.069999999999993</v>
      </c>
      <c r="I33" s="10">
        <f>0.9*I6+0.1*I47</f>
        <v>51.84</v>
      </c>
      <c r="J33" s="10">
        <f>0.75*J6+0.25*J47</f>
        <v>1.8</v>
      </c>
      <c r="K33" s="10">
        <v>-3.66</v>
      </c>
      <c r="L33" s="10">
        <v>1</v>
      </c>
      <c r="M33" s="10">
        <f>Targets_UW[[#This Row],[CANT (deg)]]-Targets_UW[[#This Row],[HEEL (deg)]]</f>
        <v>-4.66</v>
      </c>
      <c r="N33" s="10">
        <f>N6</f>
        <v>1160</v>
      </c>
      <c r="O33" s="10">
        <v>0.6</v>
      </c>
      <c r="P33" s="10">
        <v>3.4</v>
      </c>
      <c r="Q33" s="10">
        <f t="shared" si="3"/>
        <v>-3.5</v>
      </c>
      <c r="R33" s="10">
        <f t="shared" si="3"/>
        <v>-17.548789720000002</v>
      </c>
      <c r="S33" s="10">
        <f>Targets_UW[[#This Row],[CLEW (deg)]]-0.5*Targets_UW[[#This Row],[CA1 (deg)]]</f>
        <v>8.6868948600000007</v>
      </c>
      <c r="T33" s="10">
        <f>0.75*T6+0.25*T47</f>
        <v>-8.7500000000000008E-2</v>
      </c>
      <c r="U33" s="10">
        <v>30</v>
      </c>
      <c r="V33" s="10">
        <v>1500</v>
      </c>
      <c r="W33" s="10">
        <f>0.75*W6+0.25*W47</f>
        <v>5.75</v>
      </c>
      <c r="X33" s="10"/>
      <c r="Y33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67.48012524836183</v>
      </c>
      <c r="Z33" s="10">
        <f>DEGREES(ASIN(Targets_UW[[#This Row],[TWS (km/h)]]*SIN(RADIANS(Targets_UW[[#This Row],[TWA (deg)]]+Targets_UW[[#This Row],[LEEWAY (deg)]]))/Targets_UW[[#This Row],[AWS]]))</f>
        <v>15.221306697848167</v>
      </c>
      <c r="AA33" s="10">
        <f>Targets_UW[[#This Row],[AWA+Leeway]]-Targets_UW[[#This Row],[ROT (deg)]]</f>
        <v>6.5344118378481664</v>
      </c>
      <c r="AB33" s="10">
        <f>Targets_UW[[#This Row],[TWS (km/h)]]*(Targets_UW[[#This Row],[Wing]]/10)^0.1</f>
        <v>24.012855363593733</v>
      </c>
      <c r="AC33" s="10">
        <f>SQRT(Targets_UW[[#This Row],[TWSTop]]^2+Targets_UW[[#This Row],[BSP (km/h)]]^2+2*Targets_UW[[#This Row],[BSP (km/h)]]*Targets_UW[[#This Row],[TWSTop]]*COS(RADIANS(Targets_UW[[#This Row],[TWA (deg)]]+Targets_UW[[#This Row],[LEEWAY (deg)]])))</f>
        <v>69.068505386343503</v>
      </c>
      <c r="AD33" s="10">
        <f>DEGREES(ASIN(Targets_UW[[#This Row],[TWSTop]]*SIN(RADIANS(Targets_UW[[#This Row],[TWA (deg)]]+Targets_UW[[#This Row],[LEEWAY (deg)]]))/Targets_UW[[#This Row],[AWSTop]]))</f>
        <v>16.258960624489287</v>
      </c>
      <c r="AE33" s="10">
        <f>Targets_UW[[#This Row],[AWA+Leeway Top]]-Targets_UW[[#This Row],[ROT (deg)]]</f>
        <v>7.5720657644892864</v>
      </c>
      <c r="AF33" s="10">
        <f>Targets_UW[[#This Row],[CLEW (deg)]]+Targets_UW[[#This Row],[TWIST (deg)]]</f>
        <v>29.912500000000001</v>
      </c>
      <c r="AG33" s="11">
        <f>Targets_UW[[#This Row],[AWA+Leeway Top]]-Targets_UW[[#This Row],[CA6]]</f>
        <v>-13.653539375510714</v>
      </c>
      <c r="AH33" s="1">
        <f>Targets_UW[[#This Row],[AWA+Leeway]]-Targets_UW[[#This Row],[JibLead (deg)]]</f>
        <v>9.471306697848167</v>
      </c>
    </row>
    <row r="34" spans="1:34" x14ac:dyDescent="0.25">
      <c r="A34" s="2" t="s">
        <v>32</v>
      </c>
      <c r="B34" s="3" t="s">
        <v>37</v>
      </c>
      <c r="C34" s="3" t="s">
        <v>34</v>
      </c>
      <c r="D34" s="3">
        <v>24</v>
      </c>
      <c r="E34" s="3" t="str">
        <f t="shared" si="0"/>
        <v>Foiling_LAB2_HSRW2-24m</v>
      </c>
      <c r="F34" s="3">
        <v>14</v>
      </c>
      <c r="G34" s="4">
        <f>ABS(Targets_UW[[#This Row],[BSP (km/h)]]*COS(RADIANS(Targets_UW[[#This Row],[TWA (deg)]]+Targets_UW[[#This Row],[LEEWAY (deg)]])))</f>
        <v>20.846813670592496</v>
      </c>
      <c r="H34" s="4">
        <v>43</v>
      </c>
      <c r="I34" s="4">
        <v>58</v>
      </c>
      <c r="J34" s="4">
        <v>3</v>
      </c>
      <c r="K34" s="4">
        <v>4</v>
      </c>
      <c r="L34" s="4">
        <v>1.5</v>
      </c>
      <c r="M34" s="4">
        <f>Targets_UW[[#This Row],[CANT (deg)]]-Targets_UW[[#This Row],[HEEL (deg)]]</f>
        <v>2.5</v>
      </c>
      <c r="N34" s="4">
        <v>1250</v>
      </c>
      <c r="O34" s="4">
        <v>1.63</v>
      </c>
      <c r="P34" s="4">
        <v>5.8</v>
      </c>
      <c r="Q34" s="4">
        <v>-3.5</v>
      </c>
      <c r="R34" s="4">
        <v>-19.399999999999999</v>
      </c>
      <c r="S34" s="4">
        <f>Targets_UW[[#This Row],[CLEW (deg)]]-0.5*Targets_UW[[#This Row],[CA1 (deg)]]</f>
        <v>8.6999999999999993</v>
      </c>
      <c r="T34" s="4">
        <v>-1</v>
      </c>
      <c r="U34" s="4">
        <v>16</v>
      </c>
      <c r="V34" s="4">
        <v>500</v>
      </c>
      <c r="W34" s="4">
        <v>6</v>
      </c>
      <c r="X34" s="4"/>
      <c r="Y34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51.270954572512004</v>
      </c>
      <c r="Z34" s="4">
        <f>DEGREES(ASIN(Targets_UW[[#This Row],[TWS (km/h)]]*SIN(RADIANS(Targets_UW[[#This Row],[TWA (deg)]]+Targets_UW[[#This Row],[LEEWAY (deg)]]))/Targets_UW[[#This Row],[AWS]]))</f>
        <v>13.817074905469914</v>
      </c>
      <c r="AA34" s="4">
        <f>Targets_UW[[#This Row],[AWA+Leeway]]-Targets_UW[[#This Row],[ROT (deg)]]</f>
        <v>5.1170749054699147</v>
      </c>
      <c r="AB34" s="4">
        <f>Targets_UW[[#This Row],[TWS (km/h)]]*(Targets_UW[[#This Row],[Wing]]/10)^0.1</f>
        <v>15.280907958650557</v>
      </c>
      <c r="AC34" s="4">
        <f>SQRT(Targets_UW[[#This Row],[TWSTop]]^2+Targets_UW[[#This Row],[BSP (km/h)]]^2+2*Targets_UW[[#This Row],[BSP (km/h)]]*Targets_UW[[#This Row],[TWSTop]]*COS(RADIANS(Targets_UW[[#This Row],[TWA (deg)]]+Targets_UW[[#This Row],[LEEWAY (deg)]])))</f>
        <v>52.150001245481036</v>
      </c>
      <c r="AD34" s="4">
        <f>DEGREES(ASIN(Targets_UW[[#This Row],[TWSTop]]*SIN(RADIANS(Targets_UW[[#This Row],[TWA (deg)]]+Targets_UW[[#This Row],[LEEWAY (deg)]]))/Targets_UW[[#This Row],[AWSTop]]))</f>
        <v>14.849422720911134</v>
      </c>
      <c r="AE34" s="4">
        <f>Targets_UW[[#This Row],[AWA+Leeway Top]]-Targets_UW[[#This Row],[ROT (deg)]]</f>
        <v>6.1494227209111347</v>
      </c>
      <c r="AF34" s="4">
        <f>Targets_UW[[#This Row],[CLEW (deg)]]+Targets_UW[[#This Row],[TWIST (deg)]]</f>
        <v>15</v>
      </c>
      <c r="AG34" s="5">
        <f>Targets_UW[[#This Row],[AWA+Leeway Top]]-Targets_UW[[#This Row],[CA6]]</f>
        <v>-0.15057727908886598</v>
      </c>
      <c r="AH34" s="1">
        <f>Targets_UW[[#This Row],[AWA+Leeway]]-Targets_UW[[#This Row],[JibLead (deg)]]</f>
        <v>7.817074905469914</v>
      </c>
    </row>
    <row r="35" spans="1:34" x14ac:dyDescent="0.25">
      <c r="A35" s="6" t="s">
        <v>32</v>
      </c>
      <c r="B35" t="s">
        <v>37</v>
      </c>
      <c r="C35" t="s">
        <v>34</v>
      </c>
      <c r="D35">
        <v>24</v>
      </c>
      <c r="E35" t="str">
        <f t="shared" si="0"/>
        <v>Foiling_LAB2_HSRW2-24m</v>
      </c>
      <c r="F35">
        <v>16</v>
      </c>
      <c r="G35" s="1">
        <f>ABS(Targets_UW[[#This Row],[BSP (km/h)]]*COS(RADIANS(Targets_UW[[#This Row],[TWA (deg)]]+Targets_UW[[#This Row],[LEEWAY (deg)]])))</f>
        <v>23.843677765480912</v>
      </c>
      <c r="H35" s="1">
        <v>43.2</v>
      </c>
      <c r="I35" s="1">
        <v>54</v>
      </c>
      <c r="J35" s="1">
        <v>2.5</v>
      </c>
      <c r="K35" s="1">
        <v>4</v>
      </c>
      <c r="L35" s="1">
        <v>1.5</v>
      </c>
      <c r="M35" s="1">
        <f>Targets_UW[[#This Row],[CANT (deg)]]-Targets_UW[[#This Row],[HEEL (deg)]]</f>
        <v>2.5</v>
      </c>
      <c r="N35" s="1">
        <v>1200</v>
      </c>
      <c r="O35" s="1">
        <v>1.63</v>
      </c>
      <c r="P35" s="1">
        <v>5.85</v>
      </c>
      <c r="Q35" s="1">
        <v>-3.5</v>
      </c>
      <c r="R35" s="1">
        <v>-18.899999999999999</v>
      </c>
      <c r="S35" s="1">
        <f>Targets_UW[[#This Row],[CLEW (deg)]]-0.5*Targets_UW[[#This Row],[CA1 (deg)]]</f>
        <v>8.4499999999999993</v>
      </c>
      <c r="T35" s="1">
        <v>-1</v>
      </c>
      <c r="U35" s="1">
        <v>20</v>
      </c>
      <c r="V35" s="1">
        <v>700</v>
      </c>
      <c r="W35" s="1">
        <v>6.2</v>
      </c>
      <c r="X35" s="1"/>
      <c r="Y35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53.71440857437964</v>
      </c>
      <c r="Z35" s="1">
        <f>DEGREES(ASIN(Targets_UW[[#This Row],[TWS (km/h)]]*SIN(RADIANS(Targets_UW[[#This Row],[TWA (deg)]]+Targets_UW[[#This Row],[LEEWAY (deg)]]))/Targets_UW[[#This Row],[AWS]]))</f>
        <v>14.382317502746389</v>
      </c>
      <c r="AA35" s="1">
        <f>Targets_UW[[#This Row],[AWA+Leeway]]-Targets_UW[[#This Row],[ROT (deg)]]</f>
        <v>5.9323175027463897</v>
      </c>
      <c r="AB35" s="1">
        <f>Targets_UW[[#This Row],[TWS (km/h)]]*(Targets_UW[[#This Row],[Wing]]/10)^0.1</f>
        <v>17.463894809886352</v>
      </c>
      <c r="AC35" s="1">
        <f>SQRT(Targets_UW[[#This Row],[TWSTop]]^2+Targets_UW[[#This Row],[BSP (km/h)]]^2+2*Targets_UW[[#This Row],[BSP (km/h)]]*Targets_UW[[#This Row],[TWSTop]]*COS(RADIANS(Targets_UW[[#This Row],[TWA (deg)]]+Targets_UW[[#This Row],[LEEWAY (deg)]])))</f>
        <v>54.809073908296831</v>
      </c>
      <c r="AD35" s="1">
        <f>DEGREES(ASIN(Targets_UW[[#This Row],[TWSTop]]*SIN(RADIANS(Targets_UW[[#This Row],[TWA (deg)]]+Targets_UW[[#This Row],[LEEWAY (deg)]]))/Targets_UW[[#This Row],[AWSTop]]))</f>
        <v>15.408684798450329</v>
      </c>
      <c r="AE35" s="1">
        <f>Targets_UW[[#This Row],[AWA+Leeway Top]]-Targets_UW[[#This Row],[ROT (deg)]]</f>
        <v>6.9586847984503297</v>
      </c>
      <c r="AF35" s="1">
        <f>Targets_UW[[#This Row],[CLEW (deg)]]+Targets_UW[[#This Row],[TWIST (deg)]]</f>
        <v>19</v>
      </c>
      <c r="AG35" s="7">
        <f>Targets_UW[[#This Row],[AWA+Leeway Top]]-Targets_UW[[#This Row],[CA6]]</f>
        <v>-3.591315201549671</v>
      </c>
      <c r="AH35" s="1">
        <f>Targets_UW[[#This Row],[AWA+Leeway]]-Targets_UW[[#This Row],[JibLead (deg)]]</f>
        <v>8.1823175027463897</v>
      </c>
    </row>
    <row r="36" spans="1:34" x14ac:dyDescent="0.25">
      <c r="A36" s="6" t="s">
        <v>32</v>
      </c>
      <c r="B36" t="s">
        <v>37</v>
      </c>
      <c r="C36" t="s">
        <v>34</v>
      </c>
      <c r="D36">
        <v>24</v>
      </c>
      <c r="E36" t="str">
        <f t="shared" si="0"/>
        <v>Foiling_LAB2_HSRW2-24m</v>
      </c>
      <c r="F36">
        <v>18</v>
      </c>
      <c r="G36" s="1">
        <f>ABS(Targets_UW[[#This Row],[BSP (km/h)]]*COS(RADIANS(Targets_UW[[#This Row],[TWA (deg)]]+Targets_UW[[#This Row],[LEEWAY (deg)]])))</f>
        <v>25.980108151327315</v>
      </c>
      <c r="H36" s="1">
        <v>44.2</v>
      </c>
      <c r="I36" s="1">
        <v>52</v>
      </c>
      <c r="J36" s="1">
        <v>2</v>
      </c>
      <c r="K36" s="1">
        <v>2.5</v>
      </c>
      <c r="L36" s="1">
        <v>1.5</v>
      </c>
      <c r="M36" s="1">
        <f>Targets_UW[[#This Row],[CANT (deg)]]-Targets_UW[[#This Row],[HEEL (deg)]]</f>
        <v>1</v>
      </c>
      <c r="N36" s="1">
        <v>1175</v>
      </c>
      <c r="O36" s="1">
        <v>1.63</v>
      </c>
      <c r="P36" s="1">
        <v>5.8999999999999995</v>
      </c>
      <c r="Q36" s="1">
        <v>-3.5</v>
      </c>
      <c r="R36" s="1">
        <v>-18.5</v>
      </c>
      <c r="S36" s="1">
        <f>Targets_UW[[#This Row],[CLEW (deg)]]-0.5*Targets_UW[[#This Row],[CA1 (deg)]]</f>
        <v>8.25</v>
      </c>
      <c r="T36" s="1">
        <v>-1</v>
      </c>
      <c r="U36" s="1">
        <v>24</v>
      </c>
      <c r="V36" s="1">
        <v>870</v>
      </c>
      <c r="W36" s="1">
        <v>6.3</v>
      </c>
      <c r="X36" s="1"/>
      <c r="Y36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56.682659548117392</v>
      </c>
      <c r="Z36" s="1">
        <f>DEGREES(ASIN(Targets_UW[[#This Row],[TWS (km/h)]]*SIN(RADIANS(Targets_UW[[#This Row],[TWA (deg)]]+Targets_UW[[#This Row],[LEEWAY (deg)]]))/Targets_UW[[#This Row],[AWS]]))</f>
        <v>14.886753324031359</v>
      </c>
      <c r="AA36" s="1">
        <f>Targets_UW[[#This Row],[AWA+Leeway]]-Targets_UW[[#This Row],[ROT (deg)]]</f>
        <v>6.6367533240313588</v>
      </c>
      <c r="AB36" s="1">
        <f>Targets_UW[[#This Row],[TWS (km/h)]]*(Targets_UW[[#This Row],[Wing]]/10)^0.1</f>
        <v>19.646881661122144</v>
      </c>
      <c r="AC36" s="1">
        <f>SQRT(Targets_UW[[#This Row],[TWSTop]]^2+Targets_UW[[#This Row],[BSP (km/h)]]^2+2*Targets_UW[[#This Row],[BSP (km/h)]]*Targets_UW[[#This Row],[TWSTop]]*COS(RADIANS(Targets_UW[[#This Row],[TWA (deg)]]+Targets_UW[[#This Row],[LEEWAY (deg)]])))</f>
        <v>57.969786784071431</v>
      </c>
      <c r="AD36" s="1">
        <f>DEGREES(ASIN(Targets_UW[[#This Row],[TWSTop]]*SIN(RADIANS(Targets_UW[[#This Row],[TWA (deg)]]+Targets_UW[[#This Row],[LEEWAY (deg)]]))/Targets_UW[[#This Row],[AWSTop]]))</f>
        <v>15.913672514857454</v>
      </c>
      <c r="AE36" s="1">
        <f>Targets_UW[[#This Row],[AWA+Leeway Top]]-Targets_UW[[#This Row],[ROT (deg)]]</f>
        <v>7.6636725148574545</v>
      </c>
      <c r="AF36" s="1">
        <f>Targets_UW[[#This Row],[CLEW (deg)]]+Targets_UW[[#This Row],[TWIST (deg)]]</f>
        <v>23</v>
      </c>
      <c r="AG36" s="7">
        <f>Targets_UW[[#This Row],[AWA+Leeway Top]]-Targets_UW[[#This Row],[CA6]]</f>
        <v>-7.0863274851425455</v>
      </c>
      <c r="AH36" s="1">
        <f>Targets_UW[[#This Row],[AWA+Leeway]]-Targets_UW[[#This Row],[JibLead (deg)]]</f>
        <v>8.5867533240313598</v>
      </c>
    </row>
    <row r="37" spans="1:34" x14ac:dyDescent="0.25">
      <c r="A37" s="6" t="s">
        <v>32</v>
      </c>
      <c r="B37" t="s">
        <v>37</v>
      </c>
      <c r="C37" t="s">
        <v>34</v>
      </c>
      <c r="D37">
        <v>24</v>
      </c>
      <c r="E37" t="str">
        <f t="shared" si="0"/>
        <v>Foiling_LAB2_HSRW2-24m</v>
      </c>
      <c r="F37">
        <v>20</v>
      </c>
      <c r="G37" s="1">
        <f>ABS(Targets_UW[[#This Row],[BSP (km/h)]]*COS(RADIANS(Targets_UW[[#This Row],[TWA (deg)]]+Targets_UW[[#This Row],[LEEWAY (deg)]])))</f>
        <v>28.231095724274741</v>
      </c>
      <c r="H37" s="1">
        <v>45.5</v>
      </c>
      <c r="I37" s="1">
        <v>49.8</v>
      </c>
      <c r="J37" s="1">
        <v>1.85</v>
      </c>
      <c r="K37" s="1">
        <v>0.79999999999999982</v>
      </c>
      <c r="L37" s="1">
        <v>1.5</v>
      </c>
      <c r="M37" s="1">
        <f>Targets_UW[[#This Row],[CANT (deg)]]-Targets_UW[[#This Row],[HEEL (deg)]]</f>
        <v>-0.70000000000000018</v>
      </c>
      <c r="N37" s="1">
        <v>1150</v>
      </c>
      <c r="O37" s="1">
        <v>1.61</v>
      </c>
      <c r="P37" s="1">
        <v>5.56</v>
      </c>
      <c r="Q37" s="1">
        <v>-3.5</v>
      </c>
      <c r="R37" s="1">
        <v>-18.100000000000001</v>
      </c>
      <c r="S37" s="1">
        <f>Targets_UW[[#This Row],[CLEW (deg)]]-0.5*Targets_UW[[#This Row],[CA1 (deg)]]</f>
        <v>8.5500000000000007</v>
      </c>
      <c r="T37" s="1">
        <v>-0.5</v>
      </c>
      <c r="U37" s="1">
        <v>26</v>
      </c>
      <c r="V37" s="1">
        <v>1100</v>
      </c>
      <c r="W37" s="1">
        <v>6.4</v>
      </c>
      <c r="X37" s="1"/>
      <c r="Y37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59.995781759811997</v>
      </c>
      <c r="Z37" s="1">
        <f>DEGREES(ASIN(Targets_UW[[#This Row],[TWS (km/h)]]*SIN(RADIANS(Targets_UW[[#This Row],[TWA (deg)]]+Targets_UW[[#This Row],[LEEWAY (deg)]]))/Targets_UW[[#This Row],[AWS]]))</f>
        <v>15.154937162951093</v>
      </c>
      <c r="AA37" s="1">
        <f>Targets_UW[[#This Row],[AWA+Leeway]]-Targets_UW[[#This Row],[ROT (deg)]]</f>
        <v>6.6049371629510922</v>
      </c>
      <c r="AB37" s="1">
        <f>Targets_UW[[#This Row],[TWS (km/h)]]*(Targets_UW[[#This Row],[Wing]]/10)^0.1</f>
        <v>21.82986851235794</v>
      </c>
      <c r="AC37" s="1">
        <f>SQRT(Targets_UW[[#This Row],[TWSTop]]^2+Targets_UW[[#This Row],[BSP (km/h)]]^2+2*Targets_UW[[#This Row],[BSP (km/h)]]*Targets_UW[[#This Row],[TWSTop]]*COS(RADIANS(Targets_UW[[#This Row],[TWA (deg)]]+Targets_UW[[#This Row],[LEEWAY (deg)]])))</f>
        <v>61.476461955030011</v>
      </c>
      <c r="AD37" s="1">
        <f>DEGREES(ASIN(Targets_UW[[#This Row],[TWSTop]]*SIN(RADIANS(Targets_UW[[#This Row],[TWA (deg)]]+Targets_UW[[#This Row],[LEEWAY (deg)]]))/Targets_UW[[#This Row],[AWSTop]]))</f>
        <v>16.169300062858238</v>
      </c>
      <c r="AE37" s="1">
        <f>Targets_UW[[#This Row],[AWA+Leeway Top]]-Targets_UW[[#This Row],[ROT (deg)]]</f>
        <v>7.6193000628582368</v>
      </c>
      <c r="AF37" s="1">
        <f>Targets_UW[[#This Row],[CLEW (deg)]]+Targets_UW[[#This Row],[TWIST (deg)]]</f>
        <v>25.5</v>
      </c>
      <c r="AG37" s="7">
        <f>Targets_UW[[#This Row],[AWA+Leeway Top]]-Targets_UW[[#This Row],[CA6]]</f>
        <v>-9.3306999371417625</v>
      </c>
      <c r="AH37" s="1">
        <f>Targets_UW[[#This Row],[AWA+Leeway]]-Targets_UW[[#This Row],[JibLead (deg)]]</f>
        <v>8.7549371629510926</v>
      </c>
    </row>
    <row r="38" spans="1:34" x14ac:dyDescent="0.25">
      <c r="A38" s="6" t="s">
        <v>32</v>
      </c>
      <c r="B38" t="s">
        <v>37</v>
      </c>
      <c r="C38" t="s">
        <v>34</v>
      </c>
      <c r="D38">
        <v>24</v>
      </c>
      <c r="E38" t="str">
        <f t="shared" ref="E38:E58" si="4">A38 &amp; "_" &amp; B38 &amp; "_" &amp; C38 &amp; "-" &amp; D38 &amp; "m"</f>
        <v>Foiling_LAB2_HSRW2-24m</v>
      </c>
      <c r="F38">
        <v>22</v>
      </c>
      <c r="G38" s="1">
        <f>ABS(Targets_UW[[#This Row],[BSP (km/h)]]*COS(RADIANS(Targets_UW[[#This Row],[TWA (deg)]]+Targets_UW[[#This Row],[LEEWAY (deg)]])))</f>
        <v>30.264964088903447</v>
      </c>
      <c r="H38" s="1">
        <v>48.3</v>
      </c>
      <c r="I38" s="1">
        <v>49.4</v>
      </c>
      <c r="J38" s="1">
        <v>1.8</v>
      </c>
      <c r="K38" s="1">
        <v>-2.2000000000000002</v>
      </c>
      <c r="L38" s="1">
        <v>1.5</v>
      </c>
      <c r="M38" s="1">
        <f>Targets_UW[[#This Row],[CANT (deg)]]-Targets_UW[[#This Row],[HEEL (deg)]]</f>
        <v>-3.7</v>
      </c>
      <c r="N38" s="1">
        <v>1125</v>
      </c>
      <c r="O38" s="1">
        <v>1.49</v>
      </c>
      <c r="P38" s="1">
        <v>5.21</v>
      </c>
      <c r="Q38" s="1">
        <v>-3.5</v>
      </c>
      <c r="R38" s="1">
        <v>-17.7</v>
      </c>
      <c r="S38" s="1">
        <f>Targets_UW[[#This Row],[CLEW (deg)]]-0.5*Targets_UW[[#This Row],[CA1 (deg)]]</f>
        <v>8.65</v>
      </c>
      <c r="T38" s="1">
        <v>-0.2</v>
      </c>
      <c r="U38" s="1">
        <v>27.5</v>
      </c>
      <c r="V38" s="1">
        <v>1300</v>
      </c>
      <c r="W38" s="1">
        <v>6.5</v>
      </c>
      <c r="X38" s="1"/>
      <c r="Y38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64.409226201777585</v>
      </c>
      <c r="Z38" s="1">
        <f>DEGREES(ASIN(Targets_UW[[#This Row],[TWS (km/h)]]*SIN(RADIANS(Targets_UW[[#This Row],[TWA (deg)]]+Targets_UW[[#This Row],[LEEWAY (deg)]]))/Targets_UW[[#This Row],[AWS]]))</f>
        <v>15.437991604107717</v>
      </c>
      <c r="AA38" s="1">
        <f>Targets_UW[[#This Row],[AWA+Leeway]]-Targets_UW[[#This Row],[ROT (deg)]]</f>
        <v>6.7879916041077166</v>
      </c>
      <c r="AB38" s="1">
        <f>Targets_UW[[#This Row],[TWS (km/h)]]*(Targets_UW[[#This Row],[Wing]]/10)^0.1</f>
        <v>24.012855363593733</v>
      </c>
      <c r="AC38" s="1">
        <f>SQRT(Targets_UW[[#This Row],[TWSTop]]^2+Targets_UW[[#This Row],[BSP (km/h)]]^2+2*Targets_UW[[#This Row],[BSP (km/h)]]*Targets_UW[[#This Row],[TWSTop]]*COS(RADIANS(Targets_UW[[#This Row],[TWA (deg)]]+Targets_UW[[#This Row],[LEEWAY (deg)]])))</f>
        <v>66.053036517750385</v>
      </c>
      <c r="AD38" s="1">
        <f>DEGREES(ASIN(Targets_UW[[#This Row],[TWSTop]]*SIN(RADIANS(Targets_UW[[#This Row],[TWA (deg)]]+Targets_UW[[#This Row],[LEEWAY (deg)]]))/Targets_UW[[#This Row],[AWSTop]]))</f>
        <v>16.458438141946676</v>
      </c>
      <c r="AE38" s="1">
        <f>Targets_UW[[#This Row],[AWA+Leeway Top]]-Targets_UW[[#This Row],[ROT (deg)]]</f>
        <v>7.8084381419466755</v>
      </c>
      <c r="AF38" s="1">
        <f>Targets_UW[[#This Row],[CLEW (deg)]]+Targets_UW[[#This Row],[TWIST (deg)]]</f>
        <v>27.3</v>
      </c>
      <c r="AG38" s="7">
        <f>Targets_UW[[#This Row],[AWA+Leeway Top]]-Targets_UW[[#This Row],[CA6]]</f>
        <v>-10.841561858053325</v>
      </c>
      <c r="AH38" s="1">
        <f>Targets_UW[[#This Row],[AWA+Leeway]]-Targets_UW[[#This Row],[JibLead (deg)]]</f>
        <v>8.937991604107717</v>
      </c>
    </row>
    <row r="39" spans="1:34" x14ac:dyDescent="0.25">
      <c r="A39" s="6" t="s">
        <v>32</v>
      </c>
      <c r="B39" t="s">
        <v>37</v>
      </c>
      <c r="C39" t="s">
        <v>34</v>
      </c>
      <c r="D39">
        <v>24</v>
      </c>
      <c r="E39" t="str">
        <f t="shared" si="4"/>
        <v>Foiling_LAB2_HSRW2-24m</v>
      </c>
      <c r="F39">
        <v>24</v>
      </c>
      <c r="G39" s="1">
        <f>ABS(Targets_UW[[#This Row],[BSP (km/h)]]*COS(RADIANS(Targets_UW[[#This Row],[TWA (deg)]]+Targets_UW[[#This Row],[LEEWAY (deg)]])))</f>
        <v>32.296697366173873</v>
      </c>
      <c r="H39" s="1">
        <v>51.1</v>
      </c>
      <c r="I39" s="1">
        <v>49.1</v>
      </c>
      <c r="J39" s="1">
        <v>1.7</v>
      </c>
      <c r="K39" s="1">
        <v>-5</v>
      </c>
      <c r="L39" s="1">
        <v>1.5</v>
      </c>
      <c r="M39" s="1">
        <f>Targets_UW[[#This Row],[CANT (deg)]]-Targets_UW[[#This Row],[HEEL (deg)]]</f>
        <v>-6.5</v>
      </c>
      <c r="N39" s="1">
        <v>1100</v>
      </c>
      <c r="O39" s="1">
        <v>1.37</v>
      </c>
      <c r="P39" s="1">
        <v>4.8</v>
      </c>
      <c r="Q39" s="1">
        <v>-3.5</v>
      </c>
      <c r="R39" s="1">
        <v>-17.3</v>
      </c>
      <c r="S39" s="1">
        <f>Targets_UW[[#This Row],[CLEW (deg)]]-0.5*Targets_UW[[#This Row],[CA1 (deg)]]</f>
        <v>8.65</v>
      </c>
      <c r="T39" s="1">
        <v>0</v>
      </c>
      <c r="U39" s="1">
        <v>28.5</v>
      </c>
      <c r="V39" s="1">
        <v>1550</v>
      </c>
      <c r="W39" s="1">
        <v>6.5</v>
      </c>
      <c r="X39" s="1"/>
      <c r="Y39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68.829146976962789</v>
      </c>
      <c r="Z39" s="1">
        <f>DEGREES(ASIN(Targets_UW[[#This Row],[TWS (km/h)]]*SIN(RADIANS(Targets_UW[[#This Row],[TWA (deg)]]+Targets_UW[[#This Row],[LEEWAY (deg)]]))/Targets_UW[[#This Row],[AWS]]))</f>
        <v>15.677060808836728</v>
      </c>
      <c r="AA39" s="1">
        <f>Targets_UW[[#This Row],[AWA+Leeway]]-Targets_UW[[#This Row],[ROT (deg)]]</f>
        <v>7.0270608088367279</v>
      </c>
      <c r="AB39" s="1">
        <f>Targets_UW[[#This Row],[TWS (km/h)]]*(Targets_UW[[#This Row],[Wing]]/10)^0.1</f>
        <v>26.195842214829526</v>
      </c>
      <c r="AC39" s="1">
        <f>SQRT(Targets_UW[[#This Row],[TWSTop]]^2+Targets_UW[[#This Row],[BSP (km/h)]]^2+2*Targets_UW[[#This Row],[BSP (km/h)]]*Targets_UW[[#This Row],[TWSTop]]*COS(RADIANS(Targets_UW[[#This Row],[TWA (deg)]]+Targets_UW[[#This Row],[LEEWAY (deg)]])))</f>
        <v>70.63646739378342</v>
      </c>
      <c r="AD39" s="1">
        <f>DEGREES(ASIN(Targets_UW[[#This Row],[TWSTop]]*SIN(RADIANS(Targets_UW[[#This Row],[TWA (deg)]]+Targets_UW[[#This Row],[LEEWAY (deg)]]))/Targets_UW[[#This Row],[AWSTop]]))</f>
        <v>16.701855941346029</v>
      </c>
      <c r="AE39" s="1">
        <f>Targets_UW[[#This Row],[AWA+Leeway Top]]-Targets_UW[[#This Row],[ROT (deg)]]</f>
        <v>8.0518559413460284</v>
      </c>
      <c r="AF39" s="1">
        <f>Targets_UW[[#This Row],[CLEW (deg)]]+Targets_UW[[#This Row],[TWIST (deg)]]</f>
        <v>28.5</v>
      </c>
      <c r="AG39" s="7">
        <f>Targets_UW[[#This Row],[AWA+Leeway Top]]-Targets_UW[[#This Row],[CA6]]</f>
        <v>-11.798144058653971</v>
      </c>
      <c r="AH39" s="1">
        <f>Targets_UW[[#This Row],[AWA+Leeway]]-Targets_UW[[#This Row],[JibLead (deg)]]</f>
        <v>9.1770608088367283</v>
      </c>
    </row>
    <row r="40" spans="1:34" x14ac:dyDescent="0.25">
      <c r="A40" s="6" t="s">
        <v>32</v>
      </c>
      <c r="B40" t="s">
        <v>37</v>
      </c>
      <c r="C40" t="s">
        <v>34</v>
      </c>
      <c r="D40">
        <v>24</v>
      </c>
      <c r="E40" t="str">
        <f t="shared" si="4"/>
        <v>Foiling_LAB2_HSRW2-24m</v>
      </c>
      <c r="F40">
        <v>26</v>
      </c>
      <c r="G40" s="1">
        <f>ABS(Targets_UW[[#This Row],[BSP (km/h)]]*COS(RADIANS(Targets_UW[[#This Row],[TWA (deg)]]+Targets_UW[[#This Row],[LEEWAY (deg)]])))</f>
        <v>34.1021834515549</v>
      </c>
      <c r="H40" s="1">
        <v>53.5</v>
      </c>
      <c r="I40" s="1">
        <v>48.8</v>
      </c>
      <c r="J40" s="1">
        <v>1.6</v>
      </c>
      <c r="K40" s="1">
        <v>-7</v>
      </c>
      <c r="L40" s="1">
        <v>1.5</v>
      </c>
      <c r="M40" s="1">
        <f>Targets_UW[[#This Row],[CANT (deg)]]-Targets_UW[[#This Row],[HEEL (deg)]]</f>
        <v>-8.5</v>
      </c>
      <c r="N40" s="1">
        <v>1075</v>
      </c>
      <c r="O40" s="1">
        <v>1.25</v>
      </c>
      <c r="P40" s="1">
        <v>4.6000000000000005</v>
      </c>
      <c r="Q40" s="1">
        <v>-3.5</v>
      </c>
      <c r="R40" s="1">
        <v>-17.100000000000001</v>
      </c>
      <c r="S40" s="1">
        <f>Targets_UW[[#This Row],[CLEW (deg)]]-0.5*Targets_UW[[#This Row],[CA1 (deg)]]</f>
        <v>8.75</v>
      </c>
      <c r="T40" s="1">
        <v>0.2</v>
      </c>
      <c r="U40" s="1">
        <v>30</v>
      </c>
      <c r="V40" s="1">
        <v>1700</v>
      </c>
      <c r="W40" s="1">
        <v>6.5</v>
      </c>
      <c r="X40" s="1"/>
      <c r="Y40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72.880474336277857</v>
      </c>
      <c r="Z40" s="1">
        <f>DEGREES(ASIN(Targets_UW[[#This Row],[TWS (km/h)]]*SIN(RADIANS(Targets_UW[[#This Row],[TWA (deg)]]+Targets_UW[[#This Row],[LEEWAY (deg)]]))/Targets_UW[[#This Row],[AWS]]))</f>
        <v>15.954829982939399</v>
      </c>
      <c r="AA40" s="1">
        <f>Targets_UW[[#This Row],[AWA+Leeway]]-Targets_UW[[#This Row],[ROT (deg)]]</f>
        <v>7.2048299829393994</v>
      </c>
      <c r="AB40" s="1">
        <f>Targets_UW[[#This Row],[TWS (km/h)]]*(Targets_UW[[#This Row],[Wing]]/10)^0.1</f>
        <v>28.378829066065322</v>
      </c>
      <c r="AC40" s="1">
        <f>SQRT(Targets_UW[[#This Row],[TWSTop]]^2+Targets_UW[[#This Row],[BSP (km/h)]]^2+2*Targets_UW[[#This Row],[BSP (km/h)]]*Targets_UW[[#This Row],[TWSTop]]*COS(RADIANS(Targets_UW[[#This Row],[TWA (deg)]]+Targets_UW[[#This Row],[LEEWAY (deg)]])))</f>
        <v>74.854311893594414</v>
      </c>
      <c r="AD40" s="1">
        <f>DEGREES(ASIN(Targets_UW[[#This Row],[TWSTop]]*SIN(RADIANS(Targets_UW[[#This Row],[TWA (deg)]]+Targets_UW[[#This Row],[LEEWAY (deg)]]))/Targets_UW[[#This Row],[AWSTop]]))</f>
        <v>16.984777594316839</v>
      </c>
      <c r="AE40" s="1">
        <f>Targets_UW[[#This Row],[AWA+Leeway Top]]-Targets_UW[[#This Row],[ROT (deg)]]</f>
        <v>8.2347775943168386</v>
      </c>
      <c r="AF40" s="1">
        <f>Targets_UW[[#This Row],[CLEW (deg)]]+Targets_UW[[#This Row],[TWIST (deg)]]</f>
        <v>30.2</v>
      </c>
      <c r="AG40" s="7">
        <f>Targets_UW[[#This Row],[AWA+Leeway Top]]-Targets_UW[[#This Row],[CA6]]</f>
        <v>-13.215222405683161</v>
      </c>
      <c r="AH40" s="1">
        <f>Targets_UW[[#This Row],[AWA+Leeway]]-Targets_UW[[#This Row],[JibLead (deg)]]</f>
        <v>9.4548299829393994</v>
      </c>
    </row>
    <row r="41" spans="1:34" ht="15.75" thickBot="1" x14ac:dyDescent="0.3">
      <c r="A41" s="8" t="s">
        <v>32</v>
      </c>
      <c r="B41" s="9" t="s">
        <v>37</v>
      </c>
      <c r="C41" s="9" t="s">
        <v>34</v>
      </c>
      <c r="D41" s="9">
        <v>24</v>
      </c>
      <c r="E41" s="9" t="str">
        <f t="shared" si="4"/>
        <v>Foiling_LAB2_HSRW2-24m</v>
      </c>
      <c r="F41" s="9">
        <v>28</v>
      </c>
      <c r="G41" s="10">
        <f>ABS(Targets_UW[[#This Row],[BSP (km/h)]]*COS(RADIANS(Targets_UW[[#This Row],[TWA (deg)]]+Targets_UW[[#This Row],[LEEWAY (deg)]])))</f>
        <v>35.719642658160105</v>
      </c>
      <c r="H41" s="10">
        <v>55</v>
      </c>
      <c r="I41" s="10">
        <v>48</v>
      </c>
      <c r="J41" s="10">
        <v>1.5</v>
      </c>
      <c r="K41" s="10">
        <v>-7.6</v>
      </c>
      <c r="L41" s="10">
        <v>1.5</v>
      </c>
      <c r="M41" s="10">
        <f>Targets_UW[[#This Row],[CANT (deg)]]-Targets_UW[[#This Row],[HEEL (deg)]]</f>
        <v>-9.1</v>
      </c>
      <c r="N41" s="10">
        <v>1050</v>
      </c>
      <c r="O41" s="10">
        <v>1.1499999999999999</v>
      </c>
      <c r="P41" s="10">
        <v>4.45</v>
      </c>
      <c r="Q41" s="10">
        <v>-3.5</v>
      </c>
      <c r="R41" s="10">
        <v>-17</v>
      </c>
      <c r="S41" s="10">
        <f>Targets_UW[[#This Row],[CLEW (deg)]]-0.5*Targets_UW[[#This Row],[CA1 (deg)]]</f>
        <v>9</v>
      </c>
      <c r="T41" s="10">
        <v>0.5</v>
      </c>
      <c r="U41" s="10">
        <v>31</v>
      </c>
      <c r="V41" s="10">
        <v>1800</v>
      </c>
      <c r="W41" s="10">
        <v>6.5</v>
      </c>
      <c r="X41" s="10"/>
      <c r="Y41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76.218764020790616</v>
      </c>
      <c r="Z41" s="10">
        <f>DEGREES(ASIN(Targets_UW[[#This Row],[TWS (km/h)]]*SIN(RADIANS(Targets_UW[[#This Row],[TWA (deg)]]+Targets_UW[[#This Row],[LEEWAY (deg)]]))/Targets_UW[[#This Row],[AWS]]))</f>
        <v>16.221144659805226</v>
      </c>
      <c r="AA41" s="10">
        <f>Targets_UW[[#This Row],[AWA+Leeway]]-Targets_UW[[#This Row],[ROT (deg)]]</f>
        <v>7.2211446598052262</v>
      </c>
      <c r="AB41" s="10">
        <f>Targets_UW[[#This Row],[TWS (km/h)]]*(Targets_UW[[#This Row],[Wing]]/10)^0.1</f>
        <v>30.561815917301114</v>
      </c>
      <c r="AC41" s="10">
        <f>SQRT(Targets_UW[[#This Row],[TWSTop]]^2+Targets_UW[[#This Row],[BSP (km/h)]]^2+2*Targets_UW[[#This Row],[BSP (km/h)]]*Targets_UW[[#This Row],[TWSTop]]*COS(RADIANS(Targets_UW[[#This Row],[TWA (deg)]]+Targets_UW[[#This Row],[LEEWAY (deg)]])))</f>
        <v>78.373074963688452</v>
      </c>
      <c r="AD41" s="10">
        <f>DEGREES(ASIN(Targets_UW[[#This Row],[TWSTop]]*SIN(RADIANS(Targets_UW[[#This Row],[TWA (deg)]]+Targets_UW[[#This Row],[LEEWAY (deg)]]))/Targets_UW[[#This Row],[AWSTop]]))</f>
        <v>17.248860988624209</v>
      </c>
      <c r="AE41" s="10">
        <f>Targets_UW[[#This Row],[AWA+Leeway Top]]-Targets_UW[[#This Row],[ROT (deg)]]</f>
        <v>8.2488609886242088</v>
      </c>
      <c r="AF41" s="10">
        <f>Targets_UW[[#This Row],[CLEW (deg)]]+Targets_UW[[#This Row],[TWIST (deg)]]</f>
        <v>31.5</v>
      </c>
      <c r="AG41" s="11">
        <f>Targets_UW[[#This Row],[AWA+Leeway Top]]-Targets_UW[[#This Row],[CA6]]</f>
        <v>-14.251139011375791</v>
      </c>
      <c r="AH41" s="1">
        <f>Targets_UW[[#This Row],[AWA+Leeway]]-Targets_UW[[#This Row],[JibLead (deg)]]</f>
        <v>9.7211446598052262</v>
      </c>
    </row>
    <row r="42" spans="1:34" ht="15.75" thickBot="1" x14ac:dyDescent="0.3">
      <c r="A42" s="2" t="s">
        <v>32</v>
      </c>
      <c r="B42" s="3" t="s">
        <v>37</v>
      </c>
      <c r="C42" s="3" t="s">
        <v>36</v>
      </c>
      <c r="D42" s="3">
        <v>24</v>
      </c>
      <c r="E42" s="3" t="str">
        <f t="shared" ref="E42" si="5">A42 &amp; "_" &amp; B42 &amp; "_" &amp; C42 &amp; "-" &amp; D42 &amp; "m"</f>
        <v>Foiling_LAB2_LARW2-24m</v>
      </c>
      <c r="F42" s="3">
        <v>12</v>
      </c>
      <c r="G42" s="4">
        <f>ABS(Targets_UW[[#This Row],[BSP (km/h)]]*COS(RADIANS(Targets_UW[[#This Row],[TWA (deg)]]+Targets_UW[[#This Row],[LEEWAY (deg)]])))</f>
        <v>16.48211220788728</v>
      </c>
      <c r="H42" s="4">
        <v>39</v>
      </c>
      <c r="I42" s="4">
        <v>62</v>
      </c>
      <c r="J42" s="4">
        <v>3</v>
      </c>
      <c r="K42" s="4">
        <v>5</v>
      </c>
      <c r="L42" s="4">
        <v>1.5</v>
      </c>
      <c r="M42" s="4">
        <f>Targets_UW[[#This Row],[CANT (deg)]]-Targets_UW[[#This Row],[HEEL (deg)]]</f>
        <v>3.5</v>
      </c>
      <c r="N42" s="4">
        <v>1250</v>
      </c>
      <c r="O42" s="4">
        <v>2.2000000000000002</v>
      </c>
      <c r="P42" s="4">
        <v>4.0999999999999996</v>
      </c>
      <c r="Q42" s="4">
        <v>-3.5</v>
      </c>
      <c r="R42" s="4">
        <v>-19.399999999999999</v>
      </c>
      <c r="S42" s="4">
        <f>Targets_UW[[#This Row],[CLEW (deg)]]-0.5*Targets_UW[[#This Row],[CA1 (deg)]]</f>
        <v>8.6999999999999993</v>
      </c>
      <c r="T42" s="4">
        <v>-1</v>
      </c>
      <c r="U42" s="4">
        <v>10</v>
      </c>
      <c r="V42" s="4">
        <v>500</v>
      </c>
      <c r="W42" s="4">
        <v>5</v>
      </c>
      <c r="X42" s="4">
        <v>1000</v>
      </c>
      <c r="Y42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45.393509370716153</v>
      </c>
      <c r="Z42" s="4">
        <f>DEGREES(ASIN(Targets_UW[[#This Row],[TWS (km/h)]]*SIN(RADIANS(Targets_UW[[#This Row],[TWA (deg)]]+Targets_UW[[#This Row],[LEEWAY (deg)]]))/Targets_UW[[#This Row],[AWS]]))</f>
        <v>13.86216438796432</v>
      </c>
      <c r="AA42" s="4">
        <f>Targets_UW[[#This Row],[AWA+Leeway]]-Targets_UW[[#This Row],[ROT (deg)]]</f>
        <v>5.1621643879643209</v>
      </c>
      <c r="AB42" s="4">
        <f>Targets_UW[[#This Row],[TWS (km/h)]]*(Targets_UW[[#This Row],[Wing]]/10)^0.1</f>
        <v>13.097921107414763</v>
      </c>
      <c r="AC42" s="4">
        <f>SQRT(Targets_UW[[#This Row],[TWSTop]]^2+Targets_UW[[#This Row],[BSP (km/h)]]^2+2*Targets_UW[[#This Row],[BSP (km/h)]]*Targets_UW[[#This Row],[TWSTop]]*COS(RADIANS(Targets_UW[[#This Row],[TWA (deg)]]+Targets_UW[[#This Row],[LEEWAY (deg)]])))</f>
        <v>46.090328140521976</v>
      </c>
      <c r="AD42" s="4">
        <f>DEGREES(ASIN(Targets_UW[[#This Row],[TWSTop]]*SIN(RADIANS(Targets_UW[[#This Row],[TWA (deg)]]+Targets_UW[[#This Row],[LEEWAY (deg)]]))/Targets_UW[[#This Row],[AWSTop]]))</f>
        <v>14.924973898164522</v>
      </c>
      <c r="AE42" s="4">
        <f>Targets_UW[[#This Row],[AWA+Leeway Top]]-Targets_UW[[#This Row],[ROT (deg)]]</f>
        <v>6.2249738981645226</v>
      </c>
      <c r="AF42" s="4">
        <f>Targets_UW[[#This Row],[CLEW (deg)]]+Targets_UW[[#This Row],[TWIST (deg)]]</f>
        <v>9</v>
      </c>
      <c r="AG42" s="5">
        <f>Targets_UW[[#This Row],[AWA+Leeway Top]]-Targets_UW[[#This Row],[CA6]]</f>
        <v>5.9249738981645219</v>
      </c>
      <c r="AH42" s="1">
        <f>Targets_UW[[#This Row],[AWA+Leeway]]-Targets_UW[[#This Row],[JibLead (deg)]]</f>
        <v>8.8621643879643202</v>
      </c>
    </row>
    <row r="43" spans="1:34" x14ac:dyDescent="0.25">
      <c r="A43" s="2" t="s">
        <v>32</v>
      </c>
      <c r="B43" s="3" t="s">
        <v>37</v>
      </c>
      <c r="C43" s="3" t="s">
        <v>36</v>
      </c>
      <c r="D43" s="3">
        <v>24</v>
      </c>
      <c r="E43" s="3" t="str">
        <f t="shared" si="4"/>
        <v>Foiling_LAB2_LARW2-24m</v>
      </c>
      <c r="F43" s="3">
        <v>14</v>
      </c>
      <c r="G43" s="4">
        <f>ABS(Targets_UW[[#This Row],[BSP (km/h)]]*COS(RADIANS(Targets_UW[[#This Row],[TWA (deg)]]+Targets_UW[[#This Row],[LEEWAY (deg)]])))</f>
        <v>21.500000000000004</v>
      </c>
      <c r="H43" s="4">
        <v>43</v>
      </c>
      <c r="I43" s="4">
        <v>57</v>
      </c>
      <c r="J43" s="4">
        <v>3</v>
      </c>
      <c r="K43" s="4">
        <v>4.5</v>
      </c>
      <c r="L43" s="4">
        <v>1.5</v>
      </c>
      <c r="M43" s="4">
        <f>Targets_UW[[#This Row],[CANT (deg)]]-Targets_UW[[#This Row],[HEEL (deg)]]</f>
        <v>3</v>
      </c>
      <c r="N43" s="4">
        <v>1250</v>
      </c>
      <c r="O43" s="4">
        <v>2.2000000000000002</v>
      </c>
      <c r="P43" s="4">
        <v>4.0999999999999996</v>
      </c>
      <c r="Q43" s="4">
        <v>-3.5</v>
      </c>
      <c r="R43" s="4">
        <v>-19.399999999999999</v>
      </c>
      <c r="S43" s="4">
        <f>Targets_UW[[#This Row],[CLEW (deg)]]-0.5*Targets_UW[[#This Row],[CA1 (deg)]]</f>
        <v>8.6999999999999993</v>
      </c>
      <c r="T43" s="4">
        <v>-1</v>
      </c>
      <c r="U43" s="4">
        <v>16</v>
      </c>
      <c r="V43" s="4">
        <v>500</v>
      </c>
      <c r="W43" s="4">
        <v>5.4</v>
      </c>
      <c r="X43" s="4">
        <v>1200</v>
      </c>
      <c r="Y43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51.44900387762624</v>
      </c>
      <c r="Z43" s="4">
        <f>DEGREES(ASIN(Targets_UW[[#This Row],[TWS (km/h)]]*SIN(RADIANS(Targets_UW[[#This Row],[TWA (deg)]]+Targets_UW[[#This Row],[LEEWAY (deg)]]))/Targets_UW[[#This Row],[AWS]]))</f>
        <v>13.630397083094689</v>
      </c>
      <c r="AA43" s="4">
        <f>Targets_UW[[#This Row],[AWA+Leeway]]-Targets_UW[[#This Row],[ROT (deg)]]</f>
        <v>4.9303970830946895</v>
      </c>
      <c r="AB43" s="4">
        <f>Targets_UW[[#This Row],[TWS (km/h)]]*(Targets_UW[[#This Row],[Wing]]/10)^0.1</f>
        <v>15.280907958650557</v>
      </c>
      <c r="AC43" s="4">
        <f>SQRT(Targets_UW[[#This Row],[TWSTop]]^2+Targets_UW[[#This Row],[BSP (km/h)]]^2+2*Targets_UW[[#This Row],[BSP (km/h)]]*Targets_UW[[#This Row],[TWSTop]]*COS(RADIANS(Targets_UW[[#This Row],[TWA (deg)]]+Targets_UW[[#This Row],[LEEWAY (deg)]])))</f>
        <v>52.341046896892728</v>
      </c>
      <c r="AD43" s="4">
        <f>DEGREES(ASIN(Targets_UW[[#This Row],[TWSTop]]*SIN(RADIANS(Targets_UW[[#This Row],[TWA (deg)]]+Targets_UW[[#This Row],[LEEWAY (deg)]]))/Targets_UW[[#This Row],[AWSTop]]))</f>
        <v>14.645343188414895</v>
      </c>
      <c r="AE43" s="4">
        <f>Targets_UW[[#This Row],[AWA+Leeway Top]]-Targets_UW[[#This Row],[ROT (deg)]]</f>
        <v>5.9453431884148955</v>
      </c>
      <c r="AF43" s="4">
        <f>Targets_UW[[#This Row],[CLEW (deg)]]+Targets_UW[[#This Row],[TWIST (deg)]]</f>
        <v>15</v>
      </c>
      <c r="AG43" s="5">
        <f>Targets_UW[[#This Row],[AWA+Leeway Top]]-Targets_UW[[#This Row],[CA6]]</f>
        <v>-0.3546568115851052</v>
      </c>
      <c r="AH43" s="1">
        <f>Targets_UW[[#This Row],[AWA+Leeway]]-Targets_UW[[#This Row],[JibLead (deg)]]</f>
        <v>8.2303970830946884</v>
      </c>
    </row>
    <row r="44" spans="1:34" x14ac:dyDescent="0.25">
      <c r="A44" s="6" t="s">
        <v>32</v>
      </c>
      <c r="B44" t="s">
        <v>37</v>
      </c>
      <c r="C44" t="s">
        <v>36</v>
      </c>
      <c r="D44">
        <v>24</v>
      </c>
      <c r="E44" t="str">
        <f t="shared" si="4"/>
        <v>Foiling_LAB2_LARW2-24m</v>
      </c>
      <c r="F44">
        <v>16</v>
      </c>
      <c r="G44" s="1">
        <f>ABS(Targets_UW[[#This Row],[BSP (km/h)]]*COS(RADIANS(Targets_UW[[#This Row],[TWA (deg)]]+Targets_UW[[#This Row],[LEEWAY (deg)]])))</f>
        <v>26.131633006992288</v>
      </c>
      <c r="H44" s="1">
        <v>45</v>
      </c>
      <c r="I44" s="1">
        <v>52</v>
      </c>
      <c r="J44" s="1">
        <v>2.5</v>
      </c>
      <c r="K44" s="1">
        <v>4</v>
      </c>
      <c r="L44" s="1">
        <v>1.5</v>
      </c>
      <c r="M44" s="1">
        <f>Targets_UW[[#This Row],[CANT (deg)]]-Targets_UW[[#This Row],[HEEL (deg)]]</f>
        <v>2.5</v>
      </c>
      <c r="N44" s="1">
        <v>1200</v>
      </c>
      <c r="O44" s="1">
        <v>2.2000000000000002</v>
      </c>
      <c r="P44" s="1">
        <v>3.9</v>
      </c>
      <c r="Q44" s="1">
        <v>-3.5</v>
      </c>
      <c r="R44" s="1">
        <v>-19</v>
      </c>
      <c r="S44" s="1">
        <f>Targets_UW[[#This Row],[CLEW (deg)]]-0.5*Targets_UW[[#This Row],[CA1 (deg)]]</f>
        <v>8.5</v>
      </c>
      <c r="T44" s="1">
        <v>-1</v>
      </c>
      <c r="U44" s="1">
        <v>20</v>
      </c>
      <c r="V44" s="1">
        <v>700</v>
      </c>
      <c r="W44" s="1">
        <v>5.8</v>
      </c>
      <c r="X44" s="1">
        <v>1400</v>
      </c>
      <c r="Y44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55.832000288577817</v>
      </c>
      <c r="Z44" s="1">
        <f>DEGREES(ASIN(Targets_UW[[#This Row],[TWS (km/h)]]*SIN(RADIANS(Targets_UW[[#This Row],[TWA (deg)]]+Targets_UW[[#This Row],[LEEWAY (deg)]]))/Targets_UW[[#This Row],[AWS]]))</f>
        <v>13.491690809029194</v>
      </c>
      <c r="AA44" s="1">
        <f>Targets_UW[[#This Row],[AWA+Leeway]]-Targets_UW[[#This Row],[ROT (deg)]]</f>
        <v>4.991690809029194</v>
      </c>
      <c r="AB44" s="1">
        <f>Targets_UW[[#This Row],[TWS (km/h)]]*(Targets_UW[[#This Row],[Wing]]/10)^0.1</f>
        <v>17.463894809886352</v>
      </c>
      <c r="AC44" s="1">
        <f>SQRT(Targets_UW[[#This Row],[TWSTop]]^2+Targets_UW[[#This Row],[BSP (km/h)]]^2+2*Targets_UW[[#This Row],[BSP (km/h)]]*Targets_UW[[#This Row],[TWSTop]]*COS(RADIANS(Targets_UW[[#This Row],[TWA (deg)]]+Targets_UW[[#This Row],[LEEWAY (deg)]])))</f>
        <v>56.944778531662678</v>
      </c>
      <c r="AD44" s="1">
        <f>DEGREES(ASIN(Targets_UW[[#This Row],[TWSTop]]*SIN(RADIANS(Targets_UW[[#This Row],[TWA (deg)]]+Targets_UW[[#This Row],[LEEWAY (deg)]]))/Targets_UW[[#This Row],[AWSTop]]))</f>
        <v>14.45821905936076</v>
      </c>
      <c r="AE44" s="1">
        <f>Targets_UW[[#This Row],[AWA+Leeway Top]]-Targets_UW[[#This Row],[ROT (deg)]]</f>
        <v>5.9582190593607596</v>
      </c>
      <c r="AF44" s="1">
        <f>Targets_UW[[#This Row],[CLEW (deg)]]+Targets_UW[[#This Row],[TWIST (deg)]]</f>
        <v>19</v>
      </c>
      <c r="AG44" s="7">
        <f>Targets_UW[[#This Row],[AWA+Leeway Top]]-Targets_UW[[#This Row],[CA6]]</f>
        <v>-4.5417809406392404</v>
      </c>
      <c r="AH44" s="1">
        <f>Targets_UW[[#This Row],[AWA+Leeway]]-Targets_UW[[#This Row],[JibLead (deg)]]</f>
        <v>7.6916908090291942</v>
      </c>
    </row>
    <row r="45" spans="1:34" x14ac:dyDescent="0.25">
      <c r="A45" s="6" t="s">
        <v>32</v>
      </c>
      <c r="B45" t="s">
        <v>37</v>
      </c>
      <c r="C45" t="s">
        <v>36</v>
      </c>
      <c r="D45">
        <v>24</v>
      </c>
      <c r="E45" t="str">
        <f t="shared" si="4"/>
        <v>Foiling_LAB2_LARW2-24m</v>
      </c>
      <c r="F45">
        <v>18</v>
      </c>
      <c r="G45" s="1">
        <f>ABS(Targets_UW[[#This Row],[BSP (km/h)]]*COS(RADIANS(Targets_UW[[#This Row],[TWA (deg)]]+Targets_UW[[#This Row],[LEEWAY (deg)]])))</f>
        <v>28.948737988292525</v>
      </c>
      <c r="H45" s="1">
        <v>46</v>
      </c>
      <c r="I45" s="1">
        <v>49</v>
      </c>
      <c r="J45" s="1">
        <v>2</v>
      </c>
      <c r="K45" s="1">
        <v>3</v>
      </c>
      <c r="L45" s="1">
        <v>1.5</v>
      </c>
      <c r="M45" s="1">
        <f>Targets_UW[[#This Row],[CANT (deg)]]-Targets_UW[[#This Row],[HEEL (deg)]]</f>
        <v>1.5</v>
      </c>
      <c r="N45" s="1">
        <v>1175</v>
      </c>
      <c r="O45" s="1">
        <v>2</v>
      </c>
      <c r="P45" s="1">
        <v>3.85</v>
      </c>
      <c r="Q45" s="1">
        <v>-3.5</v>
      </c>
      <c r="R45" s="1">
        <v>-18.600000000000001</v>
      </c>
      <c r="S45" s="1">
        <f>Targets_UW[[#This Row],[CLEW (deg)]]-0.5*Targets_UW[[#This Row],[CA1 (deg)]]</f>
        <v>8.5</v>
      </c>
      <c r="T45" s="1">
        <v>-0.8</v>
      </c>
      <c r="U45" s="1">
        <v>23</v>
      </c>
      <c r="V45" s="1">
        <v>870</v>
      </c>
      <c r="W45" s="1">
        <v>6.1</v>
      </c>
      <c r="X45" s="1">
        <v>1500</v>
      </c>
      <c r="Y45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59.009783659818062</v>
      </c>
      <c r="Z45" s="1">
        <f>DEGREES(ASIN(Targets_UW[[#This Row],[TWS (km/h)]]*SIN(RADIANS(Targets_UW[[#This Row],[TWA (deg)]]+Targets_UW[[#This Row],[LEEWAY (deg)]]))/Targets_UW[[#This Row],[AWS]]))</f>
        <v>13.712852017567348</v>
      </c>
      <c r="AA45" s="1">
        <f>Targets_UW[[#This Row],[AWA+Leeway]]-Targets_UW[[#This Row],[ROT (deg)]]</f>
        <v>5.2128520175673483</v>
      </c>
      <c r="AB45" s="1">
        <f>Targets_UW[[#This Row],[TWS (km/h)]]*(Targets_UW[[#This Row],[Wing]]/10)^0.1</f>
        <v>19.646881661122144</v>
      </c>
      <c r="AC45" s="1">
        <f>SQRT(Targets_UW[[#This Row],[TWSTop]]^2+Targets_UW[[#This Row],[BSP (km/h)]]^2+2*Targets_UW[[#This Row],[BSP (km/h)]]*Targets_UW[[#This Row],[TWSTop]]*COS(RADIANS(Targets_UW[[#This Row],[TWA (deg)]]+Targets_UW[[#This Row],[LEEWAY (deg)]])))</f>
        <v>60.328308595515637</v>
      </c>
      <c r="AD45" s="1">
        <f>DEGREES(ASIN(Targets_UW[[#This Row],[TWSTop]]*SIN(RADIANS(Targets_UW[[#This Row],[TWA (deg)]]+Targets_UW[[#This Row],[LEEWAY (deg)]]))/Targets_UW[[#This Row],[AWSTop]]))</f>
        <v>14.660441166288312</v>
      </c>
      <c r="AE45" s="1">
        <f>Targets_UW[[#This Row],[AWA+Leeway Top]]-Targets_UW[[#This Row],[ROT (deg)]]</f>
        <v>6.1604411662883116</v>
      </c>
      <c r="AF45" s="1">
        <f>Targets_UW[[#This Row],[CLEW (deg)]]+Targets_UW[[#This Row],[TWIST (deg)]]</f>
        <v>22.2</v>
      </c>
      <c r="AG45" s="7">
        <f>Targets_UW[[#This Row],[AWA+Leeway Top]]-Targets_UW[[#This Row],[CA6]]</f>
        <v>-7.5395588337116877</v>
      </c>
      <c r="AH45" s="1">
        <f>Targets_UW[[#This Row],[AWA+Leeway]]-Targets_UW[[#This Row],[JibLead (deg)]]</f>
        <v>7.6128520175673486</v>
      </c>
    </row>
    <row r="46" spans="1:34" x14ac:dyDescent="0.25">
      <c r="A46" s="6" t="s">
        <v>32</v>
      </c>
      <c r="B46" t="s">
        <v>37</v>
      </c>
      <c r="C46" t="s">
        <v>36</v>
      </c>
      <c r="D46">
        <v>24</v>
      </c>
      <c r="E46" t="str">
        <f t="shared" si="4"/>
        <v>Foiling_LAB2_LARW2-24m</v>
      </c>
      <c r="F46">
        <v>20</v>
      </c>
      <c r="G46" s="1">
        <f>ABS(Targets_UW[[#This Row],[BSP (km/h)]]*COS(RADIANS(Targets_UW[[#This Row],[TWA (deg)]]+Targets_UW[[#This Row],[LEEWAY (deg)]])))</f>
        <v>31.540471404342558</v>
      </c>
      <c r="H46" s="1">
        <v>47</v>
      </c>
      <c r="I46" s="1">
        <v>46</v>
      </c>
      <c r="J46" s="1">
        <v>1.85</v>
      </c>
      <c r="K46" s="1">
        <v>1.5</v>
      </c>
      <c r="L46" s="1">
        <v>1.5</v>
      </c>
      <c r="M46" s="1">
        <f>Targets_UW[[#This Row],[CANT (deg)]]-Targets_UW[[#This Row],[HEEL (deg)]]</f>
        <v>0</v>
      </c>
      <c r="N46" s="1">
        <v>1150</v>
      </c>
      <c r="O46" s="1">
        <v>1.6</v>
      </c>
      <c r="P46" s="1">
        <v>3.8</v>
      </c>
      <c r="Q46" s="1">
        <v>-3.5</v>
      </c>
      <c r="R46" s="1">
        <v>-18.2</v>
      </c>
      <c r="S46" s="1">
        <f>Targets_UW[[#This Row],[CLEW (deg)]]-0.5*Targets_UW[[#This Row],[CA1 (deg)]]</f>
        <v>8.6</v>
      </c>
      <c r="T46" s="1">
        <v>-0.5</v>
      </c>
      <c r="U46" s="1">
        <v>26</v>
      </c>
      <c r="V46" s="1">
        <v>1100</v>
      </c>
      <c r="W46" s="1">
        <v>6.4</v>
      </c>
      <c r="X46" s="1">
        <v>1600</v>
      </c>
      <c r="Y46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62.214297843612307</v>
      </c>
      <c r="Z46" s="1">
        <f>DEGREES(ASIN(Targets_UW[[#This Row],[TWS (km/h)]]*SIN(RADIANS(Targets_UW[[#This Row],[TWA (deg)]]+Targets_UW[[#This Row],[LEEWAY (deg)]]))/Targets_UW[[#This Row],[AWS]]))</f>
        <v>13.788258665190405</v>
      </c>
      <c r="AA46" s="1">
        <f>Targets_UW[[#This Row],[AWA+Leeway]]-Targets_UW[[#This Row],[ROT (deg)]]</f>
        <v>5.1882586651904052</v>
      </c>
      <c r="AB46" s="1">
        <f>Targets_UW[[#This Row],[TWS (km/h)]]*(Targets_UW[[#This Row],[Wing]]/10)^0.1</f>
        <v>21.82986851235794</v>
      </c>
      <c r="AC46" s="1">
        <f>SQRT(Targets_UW[[#This Row],[TWSTop]]^2+Targets_UW[[#This Row],[BSP (km/h)]]^2+2*Targets_UW[[#This Row],[BSP (km/h)]]*Targets_UW[[#This Row],[TWSTop]]*COS(RADIANS(Targets_UW[[#This Row],[TWA (deg)]]+Targets_UW[[#This Row],[LEEWAY (deg)]])))</f>
        <v>63.738464418402835</v>
      </c>
      <c r="AD46" s="1">
        <f>DEGREES(ASIN(Targets_UW[[#This Row],[TWSTop]]*SIN(RADIANS(Targets_UW[[#This Row],[TWA (deg)]]+Targets_UW[[#This Row],[LEEWAY (deg)]]))/Targets_UW[[#This Row],[AWSTop]]))</f>
        <v>14.709586745330032</v>
      </c>
      <c r="AE46" s="1">
        <f>Targets_UW[[#This Row],[AWA+Leeway Top]]-Targets_UW[[#This Row],[ROT (deg)]]</f>
        <v>6.1095867453300325</v>
      </c>
      <c r="AF46" s="1">
        <f>Targets_UW[[#This Row],[CLEW (deg)]]+Targets_UW[[#This Row],[TWIST (deg)]]</f>
        <v>25.5</v>
      </c>
      <c r="AG46" s="7">
        <f>Targets_UW[[#This Row],[AWA+Leeway Top]]-Targets_UW[[#This Row],[CA6]]</f>
        <v>-10.790413254669968</v>
      </c>
      <c r="AH46" s="1">
        <f>Targets_UW[[#This Row],[AWA+Leeway]]-Targets_UW[[#This Row],[JibLead (deg)]]</f>
        <v>7.3882586651904045</v>
      </c>
    </row>
    <row r="47" spans="1:34" x14ac:dyDescent="0.25">
      <c r="A47" s="6" t="s">
        <v>32</v>
      </c>
      <c r="B47" t="s">
        <v>37</v>
      </c>
      <c r="C47" t="s">
        <v>36</v>
      </c>
      <c r="D47">
        <v>24</v>
      </c>
      <c r="E47" t="str">
        <f t="shared" si="4"/>
        <v>Foiling_LAB2_LARW2-24m</v>
      </c>
      <c r="F47">
        <v>22</v>
      </c>
      <c r="G47" s="1">
        <f>ABS(Targets_UW[[#This Row],[BSP (km/h)]]*COS(RADIANS(Targets_UW[[#This Row],[TWA (deg)]]+Targets_UW[[#This Row],[LEEWAY (deg)]])))</f>
        <v>33.200534637541402</v>
      </c>
      <c r="H47" s="1">
        <v>48.5</v>
      </c>
      <c r="I47" s="1">
        <v>45</v>
      </c>
      <c r="J47" s="1">
        <v>1.8</v>
      </c>
      <c r="K47" s="1">
        <v>-1</v>
      </c>
      <c r="L47" s="1">
        <v>1.5</v>
      </c>
      <c r="M47" s="1">
        <f>Targets_UW[[#This Row],[CANT (deg)]]-Targets_UW[[#This Row],[HEEL (deg)]]</f>
        <v>-2.5</v>
      </c>
      <c r="N47" s="1">
        <v>1125</v>
      </c>
      <c r="O47" s="1">
        <v>1.25</v>
      </c>
      <c r="P47" s="1">
        <v>3.75</v>
      </c>
      <c r="Q47" s="1">
        <v>-3.5</v>
      </c>
      <c r="R47" s="1">
        <v>-17.8</v>
      </c>
      <c r="S47" s="1">
        <f>Targets_UW[[#This Row],[CLEW (deg)]]-0.5*Targets_UW[[#This Row],[CA1 (deg)]]</f>
        <v>8.7000000000000011</v>
      </c>
      <c r="T47" s="1">
        <v>-0.2</v>
      </c>
      <c r="U47" s="1">
        <v>27.5</v>
      </c>
      <c r="V47" s="1">
        <v>1300</v>
      </c>
      <c r="W47" s="1">
        <v>6.5</v>
      </c>
      <c r="X47" s="1"/>
      <c r="Y47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65.552067275195995</v>
      </c>
      <c r="Z47" s="1">
        <f>DEGREES(ASIN(Targets_UW[[#This Row],[TWS (km/h)]]*SIN(RADIANS(Targets_UW[[#This Row],[TWA (deg)]]+Targets_UW[[#This Row],[LEEWAY (deg)]]))/Targets_UW[[#This Row],[AWS]]))</f>
        <v>14.161147651885731</v>
      </c>
      <c r="AA47" s="1">
        <f>Targets_UW[[#This Row],[AWA+Leeway]]-Targets_UW[[#This Row],[ROT (deg)]]</f>
        <v>5.4611476518857298</v>
      </c>
      <c r="AB47" s="1">
        <f>Targets_UW[[#This Row],[TWS (km/h)]]*(Targets_UW[[#This Row],[Wing]]/10)^0.1</f>
        <v>24.012855363593733</v>
      </c>
      <c r="AC47" s="1">
        <f>SQRT(Targets_UW[[#This Row],[TWSTop]]^2+Targets_UW[[#This Row],[BSP (km/h)]]^2+2*Targets_UW[[#This Row],[BSP (km/h)]]*Targets_UW[[#This Row],[TWSTop]]*COS(RADIANS(Targets_UW[[#This Row],[TWA (deg)]]+Targets_UW[[#This Row],[LEEWAY (deg)]])))</f>
        <v>67.255828708026513</v>
      </c>
      <c r="AD47" s="1">
        <f>DEGREES(ASIN(Targets_UW[[#This Row],[TWSTop]]*SIN(RADIANS(Targets_UW[[#This Row],[TWA (deg)]]+Targets_UW[[#This Row],[LEEWAY (deg)]]))/Targets_UW[[#This Row],[AWSTop]]))</f>
        <v>15.086033892875781</v>
      </c>
      <c r="AE47" s="1">
        <f>Targets_UW[[#This Row],[AWA+Leeway Top]]-Targets_UW[[#This Row],[ROT (deg)]]</f>
        <v>6.3860338928757798</v>
      </c>
      <c r="AF47" s="1">
        <f>Targets_UW[[#This Row],[CLEW (deg)]]+Targets_UW[[#This Row],[TWIST (deg)]]</f>
        <v>27.3</v>
      </c>
      <c r="AG47" s="7">
        <f>Targets_UW[[#This Row],[AWA+Leeway Top]]-Targets_UW[[#This Row],[CA6]]</f>
        <v>-12.21396610712422</v>
      </c>
      <c r="AH47" s="1">
        <f>Targets_UW[[#This Row],[AWA+Leeway]]-Targets_UW[[#This Row],[JibLead (deg)]]</f>
        <v>7.6611476518857309</v>
      </c>
    </row>
    <row r="48" spans="1:34" x14ac:dyDescent="0.25">
      <c r="A48" s="6" t="s">
        <v>32</v>
      </c>
      <c r="B48" t="s">
        <v>37</v>
      </c>
      <c r="C48" t="s">
        <v>36</v>
      </c>
      <c r="D48">
        <v>24</v>
      </c>
      <c r="E48" t="str">
        <f t="shared" si="4"/>
        <v>Foiling_LAB2_LARW2-24m</v>
      </c>
      <c r="F48">
        <v>24</v>
      </c>
      <c r="G48" s="1">
        <f>ABS(Targets_UW[[#This Row],[BSP (km/h)]]*COS(RADIANS(Targets_UW[[#This Row],[TWA (deg)]]+Targets_UW[[#This Row],[LEEWAY (deg)]])))</f>
        <v>34.920764271550297</v>
      </c>
      <c r="H48" s="1">
        <v>50</v>
      </c>
      <c r="I48" s="1">
        <v>44</v>
      </c>
      <c r="J48" s="1">
        <v>1.7</v>
      </c>
      <c r="K48" s="1">
        <v>-4</v>
      </c>
      <c r="L48" s="1">
        <v>1.5</v>
      </c>
      <c r="M48" s="1">
        <f>Targets_UW[[#This Row],[CANT (deg)]]-Targets_UW[[#This Row],[HEEL (deg)]]</f>
        <v>-5.5</v>
      </c>
      <c r="N48" s="1">
        <v>1100</v>
      </c>
      <c r="O48" s="1">
        <v>0.85</v>
      </c>
      <c r="P48" s="1">
        <v>3.6</v>
      </c>
      <c r="Q48" s="1">
        <v>-3.5</v>
      </c>
      <c r="R48" s="1">
        <v>-17.399999999999999</v>
      </c>
      <c r="S48" s="1">
        <f>Targets_UW[[#This Row],[CLEW (deg)]]-0.5*Targets_UW[[#This Row],[CA1 (deg)]]</f>
        <v>8.6999999999999993</v>
      </c>
      <c r="T48" s="1">
        <v>0</v>
      </c>
      <c r="U48" s="1">
        <v>28.5</v>
      </c>
      <c r="V48" s="1">
        <v>1550</v>
      </c>
      <c r="W48" s="1">
        <v>6.5</v>
      </c>
      <c r="X48" s="1"/>
      <c r="Y48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68.936178346601238</v>
      </c>
      <c r="Z48" s="1">
        <f>DEGREES(ASIN(Targets_UW[[#This Row],[TWS (km/h)]]*SIN(RADIANS(Targets_UW[[#This Row],[TWA (deg)]]+Targets_UW[[#This Row],[LEEWAY (deg)]]))/Targets_UW[[#This Row],[AWS]]))</f>
        <v>14.428229192693887</v>
      </c>
      <c r="AA48" s="1">
        <f>Targets_UW[[#This Row],[AWA+Leeway]]-Targets_UW[[#This Row],[ROT (deg)]]</f>
        <v>5.7282291926938882</v>
      </c>
      <c r="AB48" s="1">
        <f>Targets_UW[[#This Row],[TWS (km/h)]]*(Targets_UW[[#This Row],[Wing]]/10)^0.1</f>
        <v>26.195842214829526</v>
      </c>
      <c r="AC48" s="1">
        <f>SQRT(Targets_UW[[#This Row],[TWSTop]]^2+Targets_UW[[#This Row],[BSP (km/h)]]^2+2*Targets_UW[[#This Row],[BSP (km/h)]]*Targets_UW[[#This Row],[TWSTop]]*COS(RADIANS(Targets_UW[[#This Row],[TWA (deg)]]+Targets_UW[[#This Row],[LEEWAY (deg)]])))</f>
        <v>70.822170336002984</v>
      </c>
      <c r="AD48" s="1">
        <f>DEGREES(ASIN(Targets_UW[[#This Row],[TWSTop]]*SIN(RADIANS(Targets_UW[[#This Row],[TWA (deg)]]+Targets_UW[[#This Row],[LEEWAY (deg)]]))/Targets_UW[[#This Row],[AWSTop]]))</f>
        <v>15.350424039915767</v>
      </c>
      <c r="AE48" s="1">
        <f>Targets_UW[[#This Row],[AWA+Leeway Top]]-Targets_UW[[#This Row],[ROT (deg)]]</f>
        <v>6.6504240399157677</v>
      </c>
      <c r="AF48" s="1">
        <f>Targets_UW[[#This Row],[CLEW (deg)]]+Targets_UW[[#This Row],[TWIST (deg)]]</f>
        <v>28.5</v>
      </c>
      <c r="AG48" s="7">
        <f>Targets_UW[[#This Row],[AWA+Leeway Top]]-Targets_UW[[#This Row],[CA6]]</f>
        <v>-13.149575960084233</v>
      </c>
      <c r="AH48" s="1">
        <f>Targets_UW[[#This Row],[AWA+Leeway]]-Targets_UW[[#This Row],[JibLead (deg)]]</f>
        <v>7.9282291926938875</v>
      </c>
    </row>
    <row r="49" spans="1:34" x14ac:dyDescent="0.25">
      <c r="A49" s="6" t="s">
        <v>32</v>
      </c>
      <c r="B49" t="s">
        <v>37</v>
      </c>
      <c r="C49" t="s">
        <v>36</v>
      </c>
      <c r="D49">
        <v>24</v>
      </c>
      <c r="E49" t="str">
        <f t="shared" si="4"/>
        <v>Foiling_LAB2_LARW2-24m</v>
      </c>
      <c r="F49">
        <v>26</v>
      </c>
      <c r="G49" s="1">
        <f>ABS(Targets_UW[[#This Row],[BSP (km/h)]]*COS(RADIANS(Targets_UW[[#This Row],[TWA (deg)]]+Targets_UW[[#This Row],[LEEWAY (deg)]])))</f>
        <v>36.882949182333618</v>
      </c>
      <c r="H49" s="1">
        <v>51.8</v>
      </c>
      <c r="I49" s="1">
        <v>43</v>
      </c>
      <c r="J49" s="1">
        <v>1.6</v>
      </c>
      <c r="K49" s="1">
        <v>-6.2</v>
      </c>
      <c r="L49" s="1">
        <v>1.5</v>
      </c>
      <c r="M49" s="1">
        <f>Targets_UW[[#This Row],[CANT (deg)]]-Targets_UW[[#This Row],[HEEL (deg)]]</f>
        <v>-7.7</v>
      </c>
      <c r="N49" s="1">
        <v>1075</v>
      </c>
      <c r="O49" s="1">
        <v>0.5</v>
      </c>
      <c r="P49" s="1">
        <v>3.4</v>
      </c>
      <c r="Q49" s="1">
        <v>-3.5</v>
      </c>
      <c r="R49" s="1">
        <v>-17.2</v>
      </c>
      <c r="S49" s="1">
        <f>Targets_UW[[#This Row],[CLEW (deg)]]-0.5*Targets_UW[[#This Row],[CA1 (deg)]]</f>
        <v>8.7999999999999989</v>
      </c>
      <c r="T49" s="1">
        <v>0.2</v>
      </c>
      <c r="U49" s="1">
        <v>30</v>
      </c>
      <c r="V49" s="1">
        <v>1700</v>
      </c>
      <c r="W49" s="1">
        <v>6.5</v>
      </c>
      <c r="X49" s="1"/>
      <c r="Y49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72.644018043341646</v>
      </c>
      <c r="Z49" s="1">
        <f>DEGREES(ASIN(Targets_UW[[#This Row],[TWS (km/h)]]*SIN(RADIANS(Targets_UW[[#This Row],[TWA (deg)]]+Targets_UW[[#This Row],[LEEWAY (deg)]]))/Targets_UW[[#This Row],[AWS]]))</f>
        <v>14.554890932230569</v>
      </c>
      <c r="AA49" s="1">
        <f>Targets_UW[[#This Row],[AWA+Leeway]]-Targets_UW[[#This Row],[ROT (deg)]]</f>
        <v>5.7548909322305697</v>
      </c>
      <c r="AB49" s="1">
        <f>Targets_UW[[#This Row],[TWS (km/h)]]*(Targets_UW[[#This Row],[Wing]]/10)^0.1</f>
        <v>28.378829066065322</v>
      </c>
      <c r="AC49" s="1">
        <f>SQRT(Targets_UW[[#This Row],[TWSTop]]^2+Targets_UW[[#This Row],[BSP (km/h)]]^2+2*Targets_UW[[#This Row],[BSP (km/h)]]*Targets_UW[[#This Row],[TWSTop]]*COS(RADIANS(Targets_UW[[#This Row],[TWA (deg)]]+Targets_UW[[#This Row],[LEEWAY (deg)]])))</f>
        <v>74.712701462044535</v>
      </c>
      <c r="AD49" s="1">
        <f>DEGREES(ASIN(Targets_UW[[#This Row],[TWSTop]]*SIN(RADIANS(Targets_UW[[#This Row],[TWA (deg)]]+Targets_UW[[#This Row],[LEEWAY (deg)]]))/Targets_UW[[#This Row],[AWSTop]]))</f>
        <v>15.468313034178449</v>
      </c>
      <c r="AE49" s="1">
        <f>Targets_UW[[#This Row],[AWA+Leeway Top]]-Targets_UW[[#This Row],[ROT (deg)]]</f>
        <v>6.6683130341784498</v>
      </c>
      <c r="AF49" s="1">
        <f>Targets_UW[[#This Row],[CLEW (deg)]]+Targets_UW[[#This Row],[TWIST (deg)]]</f>
        <v>30.2</v>
      </c>
      <c r="AG49" s="7">
        <f>Targets_UW[[#This Row],[AWA+Leeway Top]]-Targets_UW[[#This Row],[CA6]]</f>
        <v>-14.731686965821551</v>
      </c>
      <c r="AH49" s="1">
        <f>Targets_UW[[#This Row],[AWA+Leeway]]-Targets_UW[[#This Row],[JibLead (deg)]]</f>
        <v>8.0548909322305686</v>
      </c>
    </row>
    <row r="50" spans="1:34" ht="15.75" thickBot="1" x14ac:dyDescent="0.3">
      <c r="A50" s="8" t="s">
        <v>32</v>
      </c>
      <c r="B50" s="9" t="s">
        <v>37</v>
      </c>
      <c r="C50" s="9" t="s">
        <v>36</v>
      </c>
      <c r="D50" s="9">
        <v>24</v>
      </c>
      <c r="E50" s="9" t="str">
        <f t="shared" si="4"/>
        <v>Foiling_LAB2_LARW2-24m</v>
      </c>
      <c r="F50" s="9">
        <v>28</v>
      </c>
      <c r="G50" s="10">
        <f>ABS(Targets_UW[[#This Row],[BSP (km/h)]]*COS(RADIANS(Targets_UW[[#This Row],[TWA (deg)]]+Targets_UW[[#This Row],[LEEWAY (deg)]])))</f>
        <v>38.158899029748717</v>
      </c>
      <c r="H50" s="10">
        <v>53.5</v>
      </c>
      <c r="I50" s="10">
        <v>43</v>
      </c>
      <c r="J50" s="10">
        <v>1.5</v>
      </c>
      <c r="K50" s="10">
        <v>-7.6</v>
      </c>
      <c r="L50" s="10">
        <v>1.5</v>
      </c>
      <c r="M50" s="10">
        <f>Targets_UW[[#This Row],[CANT (deg)]]-Targets_UW[[#This Row],[HEEL (deg)]]</f>
        <v>-9.1</v>
      </c>
      <c r="N50" s="10">
        <v>1050</v>
      </c>
      <c r="O50" s="10">
        <v>0.1</v>
      </c>
      <c r="P50" s="10">
        <v>3.2</v>
      </c>
      <c r="Q50" s="10">
        <v>-3.5</v>
      </c>
      <c r="R50" s="10">
        <v>-17.100000000000001</v>
      </c>
      <c r="S50" s="10">
        <f>Targets_UW[[#This Row],[CLEW (deg)]]-0.5*Targets_UW[[#This Row],[CA1 (deg)]]</f>
        <v>9.0500000000000007</v>
      </c>
      <c r="T50" s="10">
        <v>0.5</v>
      </c>
      <c r="U50" s="10">
        <v>31</v>
      </c>
      <c r="V50" s="10">
        <v>1800</v>
      </c>
      <c r="W50" s="10">
        <v>6.5</v>
      </c>
      <c r="X50" s="10"/>
      <c r="Y50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76.047014048323604</v>
      </c>
      <c r="Z50" s="10">
        <f>DEGREES(ASIN(Targets_UW[[#This Row],[TWS (km/h)]]*SIN(RADIANS(Targets_UW[[#This Row],[TWA (deg)]]+Targets_UW[[#This Row],[LEEWAY (deg)]]))/Targets_UW[[#This Row],[AWS]]))</f>
        <v>14.955578592689397</v>
      </c>
      <c r="AA50" s="10">
        <f>Targets_UW[[#This Row],[AWA+Leeway]]-Targets_UW[[#This Row],[ROT (deg)]]</f>
        <v>5.9055785926893964</v>
      </c>
      <c r="AB50" s="10">
        <f>Targets_UW[[#This Row],[TWS (km/h)]]*(Targets_UW[[#This Row],[Wing]]/10)^0.1</f>
        <v>30.561815917301114</v>
      </c>
      <c r="AC50" s="10">
        <f>SQRT(Targets_UW[[#This Row],[TWSTop]]^2+Targets_UW[[#This Row],[BSP (km/h)]]^2+2*Targets_UW[[#This Row],[BSP (km/h)]]*Targets_UW[[#This Row],[TWSTop]]*COS(RADIANS(Targets_UW[[#This Row],[TWA (deg)]]+Targets_UW[[#This Row],[LEEWAY (deg)]])))</f>
        <v>78.285918833920064</v>
      </c>
      <c r="AD50" s="10">
        <f>DEGREES(ASIN(Targets_UW[[#This Row],[TWSTop]]*SIN(RADIANS(Targets_UW[[#This Row],[TWA (deg)]]+Targets_UW[[#This Row],[LEEWAY (deg)]]))/Targets_UW[[#This Row],[AWSTop]]))</f>
        <v>15.88014724204734</v>
      </c>
      <c r="AE50" s="10">
        <f>Targets_UW[[#This Row],[AWA+Leeway Top]]-Targets_UW[[#This Row],[ROT (deg)]]</f>
        <v>6.8301472420473388</v>
      </c>
      <c r="AF50" s="10">
        <f>Targets_UW[[#This Row],[CLEW (deg)]]+Targets_UW[[#This Row],[TWIST (deg)]]</f>
        <v>31.5</v>
      </c>
      <c r="AG50" s="11">
        <f>Targets_UW[[#This Row],[AWA+Leeway Top]]-Targets_UW[[#This Row],[CA6]]</f>
        <v>-15.61985275795266</v>
      </c>
      <c r="AH50" s="1">
        <f>Targets_UW[[#This Row],[AWA+Leeway]]-Targets_UW[[#This Row],[JibLead (deg)]]</f>
        <v>8.4555785926893972</v>
      </c>
    </row>
    <row r="51" spans="1:34" x14ac:dyDescent="0.25">
      <c r="A51" s="2" t="s">
        <v>32</v>
      </c>
      <c r="B51" s="3" t="s">
        <v>37</v>
      </c>
      <c r="C51" s="3" t="s">
        <v>36</v>
      </c>
      <c r="D51" s="3">
        <v>27.5</v>
      </c>
      <c r="E51" s="3" t="str">
        <f t="shared" si="4"/>
        <v>Foiling_LAB2_LARW2-27.5m</v>
      </c>
      <c r="F51" s="3">
        <v>13</v>
      </c>
      <c r="G51" s="4">
        <f>ABS(Targets_UW[[#This Row],[BSP (km/h)]]*COS(RADIANS(Targets_UW[[#This Row],[TWA (deg)]]+Targets_UW[[#This Row],[LEEWAY (deg)]])))</f>
        <v>24.072600926081936</v>
      </c>
      <c r="H51" s="4">
        <v>40</v>
      </c>
      <c r="I51" s="4">
        <v>50</v>
      </c>
      <c r="J51" s="4">
        <v>3</v>
      </c>
      <c r="K51" s="4">
        <v>4.5</v>
      </c>
      <c r="L51" s="4">
        <v>1.5</v>
      </c>
      <c r="M51" s="4">
        <f>Targets_UW[[#This Row],[CANT (deg)]]-Targets_UW[[#This Row],[HEEL (deg)]]</f>
        <v>3</v>
      </c>
      <c r="N51" s="4">
        <v>1200</v>
      </c>
      <c r="O51" s="4">
        <v>0.35</v>
      </c>
      <c r="P51" s="4">
        <v>3.6</v>
      </c>
      <c r="Q51" s="4">
        <v>-3</v>
      </c>
      <c r="R51" s="4">
        <v>-19</v>
      </c>
      <c r="S51" s="4">
        <f>Targets_UW[[#This Row],[CLEW (deg)]]-0.5*Targets_UW[[#This Row],[CA1 (deg)]]</f>
        <v>9</v>
      </c>
      <c r="T51" s="4">
        <v>-0.5</v>
      </c>
      <c r="U51" s="4">
        <v>25</v>
      </c>
      <c r="V51" s="4">
        <v>1000</v>
      </c>
      <c r="W51" s="4">
        <v>5.5</v>
      </c>
      <c r="X51" s="4">
        <v>1500</v>
      </c>
      <c r="Y51" s="4">
        <f>SQRT(Targets_UW[[#This Row],[TWS (km/h)]]^2+Targets_UW[[#This Row],[BSP (km/h)]]^2+2*Targets_UW[[#This Row],[TWS (km/h)]]*Targets_UW[[#This Row],[BSP (km/h)]]*COS(RADIANS(Targets_UW[[#This Row],[TWA (deg)]]+Targets_UW[[#This Row],[LEEWAY (deg)]])))</f>
        <v>48.937589070959859</v>
      </c>
      <c r="Z51" s="4">
        <f>DEGREES(ASIN(Targets_UW[[#This Row],[TWS (km/h)]]*SIN(RADIANS(Targets_UW[[#This Row],[TWA (deg)]]+Targets_UW[[#This Row],[LEEWAY (deg)]]))/Targets_UW[[#This Row],[AWS]]))</f>
        <v>12.248559802744692</v>
      </c>
      <c r="AA51" s="4">
        <f>Targets_UW[[#This Row],[AWA+Leeway]]-Targets_UW[[#This Row],[ROT (deg)]]</f>
        <v>3.2485598027446922</v>
      </c>
      <c r="AB51" s="4">
        <f>Targets_UW[[#This Row],[TWS (km/h)]]*(Targets_UW[[#This Row],[Wing]]/10)^0.1</f>
        <v>14.383898893782673</v>
      </c>
      <c r="AC51" s="4">
        <f>SQRT(Targets_UW[[#This Row],[TWSTop]]^2+Targets_UW[[#This Row],[BSP (km/h)]]^2+2*Targets_UW[[#This Row],[BSP (km/h)]]*Targets_UW[[#This Row],[TWSTop]]*COS(RADIANS(Targets_UW[[#This Row],[TWA (deg)]]+Targets_UW[[#This Row],[LEEWAY (deg)]])))</f>
        <v>49.994122285013127</v>
      </c>
      <c r="AD51" s="4">
        <f>DEGREES(ASIN(Targets_UW[[#This Row],[TWSTop]]*SIN(RADIANS(Targets_UW[[#This Row],[TWA (deg)]]+Targets_UW[[#This Row],[LEEWAY (deg)]]))/Targets_UW[[#This Row],[AWSTop]]))</f>
        <v>13.283934914297957</v>
      </c>
      <c r="AE51" s="4">
        <f>Targets_UW[[#This Row],[AWA+Leeway Top]]-Targets_UW[[#This Row],[ROT (deg)]]</f>
        <v>4.2839349142979568</v>
      </c>
      <c r="AF51" s="4">
        <f>Targets_UW[[#This Row],[CLEW (deg)]]+Targets_UW[[#This Row],[TWIST (deg)]]</f>
        <v>24.5</v>
      </c>
      <c r="AG51" s="5">
        <f>Targets_UW[[#This Row],[AWA+Leeway Top]]-Targets_UW[[#This Row],[CA6]]</f>
        <v>-11.216065085702043</v>
      </c>
      <c r="AH51" s="1">
        <f>Targets_UW[[#This Row],[AWA+Leeway]]-Targets_UW[[#This Row],[JibLead (deg)]]</f>
        <v>6.7485598027446922</v>
      </c>
    </row>
    <row r="52" spans="1:34" x14ac:dyDescent="0.25">
      <c r="A52" s="6" t="s">
        <v>32</v>
      </c>
      <c r="B52" t="s">
        <v>37</v>
      </c>
      <c r="C52" t="s">
        <v>36</v>
      </c>
      <c r="D52">
        <v>27.5</v>
      </c>
      <c r="E52" t="str">
        <f t="shared" si="4"/>
        <v>Foiling_LAB2_LARW2-27.5m</v>
      </c>
      <c r="F52">
        <v>14</v>
      </c>
      <c r="G52" s="1">
        <f>ABS(Targets_UW[[#This Row],[BSP (km/h)]]*COS(RADIANS(Targets_UW[[#This Row],[TWA (deg)]]+Targets_UW[[#This Row],[LEEWAY (deg)]])))</f>
        <v>26.079207031388322</v>
      </c>
      <c r="H52" s="1">
        <v>41</v>
      </c>
      <c r="I52" s="1">
        <v>48</v>
      </c>
      <c r="J52" s="1">
        <v>2.5</v>
      </c>
      <c r="K52" s="1">
        <v>4</v>
      </c>
      <c r="L52" s="1">
        <v>1.5</v>
      </c>
      <c r="M52" s="1">
        <f>Targets_UW[[#This Row],[CANT (deg)]]-Targets_UW[[#This Row],[HEEL (deg)]]</f>
        <v>2.5</v>
      </c>
      <c r="N52" s="1">
        <v>1200</v>
      </c>
      <c r="O52" s="1">
        <v>0.4</v>
      </c>
      <c r="P52" s="1">
        <v>3.5</v>
      </c>
      <c r="Q52" s="1">
        <v>-3</v>
      </c>
      <c r="R52" s="1">
        <v>-18.7</v>
      </c>
      <c r="S52" s="1">
        <f>Targets_UW[[#This Row],[CLEW (deg)]]-0.5*Targets_UW[[#This Row],[CA1 (deg)]]</f>
        <v>9.35</v>
      </c>
      <c r="T52" s="1">
        <v>0</v>
      </c>
      <c r="U52" s="1">
        <v>25</v>
      </c>
      <c r="V52" s="1">
        <v>1200</v>
      </c>
      <c r="W52" s="1">
        <v>5.9</v>
      </c>
      <c r="X52" s="1">
        <v>1630</v>
      </c>
      <c r="Y52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51.060922405288302</v>
      </c>
      <c r="Z52" s="1">
        <f>DEGREES(ASIN(Targets_UW[[#This Row],[TWS (km/h)]]*SIN(RADIANS(Targets_UW[[#This Row],[TWA (deg)]]+Targets_UW[[#This Row],[LEEWAY (deg)]]))/Targets_UW[[#This Row],[AWS]]))</f>
        <v>12.214127082545714</v>
      </c>
      <c r="AA52" s="1">
        <f>Targets_UW[[#This Row],[AWA+Leeway]]-Targets_UW[[#This Row],[ROT (deg)]]</f>
        <v>2.8641270825457141</v>
      </c>
      <c r="AB52" s="1">
        <f>Targets_UW[[#This Row],[TWS (km/h)]]*(Targets_UW[[#This Row],[Wing]]/10)^0.1</f>
        <v>15.49035265484288</v>
      </c>
      <c r="AC52" s="1">
        <f>SQRT(Targets_UW[[#This Row],[TWSTop]]^2+Targets_UW[[#This Row],[BSP (km/h)]]^2+2*Targets_UW[[#This Row],[BSP (km/h)]]*Targets_UW[[#This Row],[TWSTop]]*COS(RADIANS(Targets_UW[[#This Row],[TWA (deg)]]+Targets_UW[[#This Row],[LEEWAY (deg)]])))</f>
        <v>52.238905550567615</v>
      </c>
      <c r="AD52" s="1">
        <f>DEGREES(ASIN(Targets_UW[[#This Row],[TWSTop]]*SIN(RADIANS(Targets_UW[[#This Row],[TWA (deg)]]+Targets_UW[[#This Row],[LEEWAY (deg)]]))/Targets_UW[[#This Row],[AWSTop]]))</f>
        <v>13.226968573247708</v>
      </c>
      <c r="AE52" s="1">
        <f>Targets_UW[[#This Row],[AWA+Leeway Top]]-Targets_UW[[#This Row],[ROT (deg)]]</f>
        <v>3.8769685732477086</v>
      </c>
      <c r="AF52" s="1">
        <f>Targets_UW[[#This Row],[CLEW (deg)]]+Targets_UW[[#This Row],[TWIST (deg)]]</f>
        <v>25</v>
      </c>
      <c r="AG52" s="7">
        <f>Targets_UW[[#This Row],[AWA+Leeway Top]]-Targets_UW[[#This Row],[CA6]]</f>
        <v>-11.773031426752292</v>
      </c>
      <c r="AH52" s="1">
        <f>Targets_UW[[#This Row],[AWA+Leeway]]-Targets_UW[[#This Row],[JibLead (deg)]]</f>
        <v>6.3141270825457134</v>
      </c>
    </row>
    <row r="53" spans="1:34" x14ac:dyDescent="0.25">
      <c r="A53" s="6" t="s">
        <v>32</v>
      </c>
      <c r="B53" t="s">
        <v>37</v>
      </c>
      <c r="C53" t="s">
        <v>36</v>
      </c>
      <c r="D53">
        <v>27.5</v>
      </c>
      <c r="E53" t="str">
        <f t="shared" si="4"/>
        <v>Foiling_LAB2_LARW2-27.5m</v>
      </c>
      <c r="F53">
        <v>15</v>
      </c>
      <c r="G53" s="1">
        <f>ABS(Targets_UW[[#This Row],[BSP (km/h)]]*COS(RADIANS(Targets_UW[[#This Row],[TWA (deg)]]+Targets_UW[[#This Row],[LEEWAY (deg)]])))</f>
        <v>27.661097515352278</v>
      </c>
      <c r="H53" s="1">
        <v>41.5</v>
      </c>
      <c r="I53" s="1">
        <v>46</v>
      </c>
      <c r="J53" s="1">
        <v>2.2000000000000002</v>
      </c>
      <c r="K53" s="1">
        <v>3.5</v>
      </c>
      <c r="L53" s="1">
        <v>1.5</v>
      </c>
      <c r="M53" s="1">
        <f>Targets_UW[[#This Row],[CANT (deg)]]-Targets_UW[[#This Row],[HEEL (deg)]]</f>
        <v>2</v>
      </c>
      <c r="N53" s="1">
        <v>1175</v>
      </c>
      <c r="O53" s="1">
        <v>0.4</v>
      </c>
      <c r="P53" s="1">
        <v>3.5</v>
      </c>
      <c r="Q53" s="1">
        <v>-3</v>
      </c>
      <c r="R53" s="1">
        <v>-18.5</v>
      </c>
      <c r="S53" s="1">
        <f>Targets_UW[[#This Row],[CLEW (deg)]]-0.5*Targets_UW[[#This Row],[CA1 (deg)]]</f>
        <v>9.65</v>
      </c>
      <c r="T53" s="1">
        <v>0.4</v>
      </c>
      <c r="U53" s="1">
        <v>25</v>
      </c>
      <c r="V53" s="1">
        <v>1350</v>
      </c>
      <c r="W53" s="1">
        <v>6.2</v>
      </c>
      <c r="X53" s="1">
        <v>1700</v>
      </c>
      <c r="Y53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52.698035309303215</v>
      </c>
      <c r="Z53" s="1">
        <f>DEGREES(ASIN(Targets_UW[[#This Row],[TWS (km/h)]]*SIN(RADIANS(Targets_UW[[#This Row],[TWA (deg)]]+Targets_UW[[#This Row],[LEEWAY (deg)]]))/Targets_UW[[#This Row],[AWS]]))</f>
        <v>12.250882873210719</v>
      </c>
      <c r="AA53" s="1">
        <f>Targets_UW[[#This Row],[AWA+Leeway]]-Targets_UW[[#This Row],[ROT (deg)]]</f>
        <v>2.6008828732107183</v>
      </c>
      <c r="AB53" s="1">
        <f>Targets_UW[[#This Row],[TWS (km/h)]]*(Targets_UW[[#This Row],[Wing]]/10)^0.1</f>
        <v>16.596806415903085</v>
      </c>
      <c r="AC53" s="1">
        <f>SQRT(Targets_UW[[#This Row],[TWSTop]]^2+Targets_UW[[#This Row],[BSP (km/h)]]^2+2*Targets_UW[[#This Row],[BSP (km/h)]]*Targets_UW[[#This Row],[TWSTop]]*COS(RADIANS(Targets_UW[[#This Row],[TWA (deg)]]+Targets_UW[[#This Row],[LEEWAY (deg)]])))</f>
        <v>53.998849475099007</v>
      </c>
      <c r="AD53" s="1">
        <f>DEGREES(ASIN(Targets_UW[[#This Row],[TWSTop]]*SIN(RADIANS(Targets_UW[[#This Row],[TWA (deg)]]+Targets_UW[[#This Row],[LEEWAY (deg)]]))/Targets_UW[[#This Row],[AWSTop]]))</f>
        <v>13.245599895967576</v>
      </c>
      <c r="AE53" s="1">
        <f>Targets_UW[[#This Row],[AWA+Leeway Top]]-Targets_UW[[#This Row],[ROT (deg)]]</f>
        <v>3.5955998959675757</v>
      </c>
      <c r="AF53" s="1">
        <f>Targets_UW[[#This Row],[CLEW (deg)]]+Targets_UW[[#This Row],[TWIST (deg)]]</f>
        <v>25.4</v>
      </c>
      <c r="AG53" s="7">
        <f>Targets_UW[[#This Row],[AWA+Leeway Top]]-Targets_UW[[#This Row],[CA6]]</f>
        <v>-12.154400104032423</v>
      </c>
      <c r="AH53" s="1">
        <f>Targets_UW[[#This Row],[AWA+Leeway]]-Targets_UW[[#This Row],[JibLead (deg)]]</f>
        <v>6.0508828732107185</v>
      </c>
    </row>
    <row r="54" spans="1:34" x14ac:dyDescent="0.25">
      <c r="A54" s="6" t="s">
        <v>32</v>
      </c>
      <c r="B54" t="s">
        <v>37</v>
      </c>
      <c r="C54" t="s">
        <v>36</v>
      </c>
      <c r="D54">
        <v>27.5</v>
      </c>
      <c r="E54" t="str">
        <f t="shared" si="4"/>
        <v>Foiling_LAB2_LARW2-27.5m</v>
      </c>
      <c r="F54">
        <v>16</v>
      </c>
      <c r="G54" s="1">
        <f>ABS(Targets_UW[[#This Row],[BSP (km/h)]]*COS(RADIANS(Targets_UW[[#This Row],[TWA (deg)]]+Targets_UW[[#This Row],[LEEWAY (deg)]])))</f>
        <v>28.482706134458965</v>
      </c>
      <c r="H54" s="1">
        <v>42</v>
      </c>
      <c r="I54" s="1">
        <v>45.3</v>
      </c>
      <c r="J54" s="1">
        <v>2</v>
      </c>
      <c r="K54" s="1">
        <v>3</v>
      </c>
      <c r="L54" s="1">
        <v>1.5</v>
      </c>
      <c r="M54" s="1">
        <f>Targets_UW[[#This Row],[CANT (deg)]]-Targets_UW[[#This Row],[HEEL (deg)]]</f>
        <v>1.5</v>
      </c>
      <c r="N54" s="1">
        <v>1150</v>
      </c>
      <c r="O54" s="1">
        <v>0.4</v>
      </c>
      <c r="P54" s="1">
        <v>3.5</v>
      </c>
      <c r="Q54" s="1">
        <v>-3</v>
      </c>
      <c r="R54" s="1">
        <v>-18.3</v>
      </c>
      <c r="S54" s="1">
        <f>Targets_UW[[#This Row],[CLEW (deg)]]-0.5*Targets_UW[[#This Row],[CA1 (deg)]]</f>
        <v>9.9500000000000011</v>
      </c>
      <c r="T54" s="1">
        <v>0.8</v>
      </c>
      <c r="U54" s="1">
        <v>25</v>
      </c>
      <c r="V54" s="1">
        <v>1475</v>
      </c>
      <c r="W54" s="1">
        <v>6.4</v>
      </c>
      <c r="X54" s="1">
        <v>1780</v>
      </c>
      <c r="Y54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54.142835133586111</v>
      </c>
      <c r="Z54" s="1">
        <f>DEGREES(ASIN(Targets_UW[[#This Row],[TWS (km/h)]]*SIN(RADIANS(Targets_UW[[#This Row],[TWA (deg)]]+Targets_UW[[#This Row],[LEEWAY (deg)]]))/Targets_UW[[#This Row],[AWS]]))</f>
        <v>12.543338168840792</v>
      </c>
      <c r="AA54" s="1">
        <f>Targets_UW[[#This Row],[AWA+Leeway]]-Targets_UW[[#This Row],[ROT (deg)]]</f>
        <v>2.5933381688407913</v>
      </c>
      <c r="AB54" s="1">
        <f>Targets_UW[[#This Row],[TWS (km/h)]]*(Targets_UW[[#This Row],[Wing]]/10)^0.1</f>
        <v>17.70326017696329</v>
      </c>
      <c r="AC54" s="1">
        <f>SQRT(Targets_UW[[#This Row],[TWSTop]]^2+Targets_UW[[#This Row],[BSP (km/h)]]^2+2*Targets_UW[[#This Row],[BSP (km/h)]]*Targets_UW[[#This Row],[TWSTop]]*COS(RADIANS(Targets_UW[[#This Row],[TWA (deg)]]+Targets_UW[[#This Row],[LEEWAY (deg)]])))</f>
        <v>55.55068798293938</v>
      </c>
      <c r="AD54" s="1">
        <f>DEGREES(ASIN(Targets_UW[[#This Row],[TWSTop]]*SIN(RADIANS(Targets_UW[[#This Row],[TWA (deg)]]+Targets_UW[[#This Row],[LEEWAY (deg)]]))/Targets_UW[[#This Row],[AWSTop]]))</f>
        <v>13.544908545205816</v>
      </c>
      <c r="AE54" s="1">
        <f>Targets_UW[[#This Row],[AWA+Leeway Top]]-Targets_UW[[#This Row],[ROT (deg)]]</f>
        <v>3.5949085452058149</v>
      </c>
      <c r="AF54" s="1">
        <f>Targets_UW[[#This Row],[CLEW (deg)]]+Targets_UW[[#This Row],[TWIST (deg)]]</f>
        <v>25.8</v>
      </c>
      <c r="AG54" s="7">
        <f>Targets_UW[[#This Row],[AWA+Leeway Top]]-Targets_UW[[#This Row],[CA6]]</f>
        <v>-12.255091454794185</v>
      </c>
      <c r="AH54" s="1">
        <f>Targets_UW[[#This Row],[AWA+Leeway]]-Targets_UW[[#This Row],[JibLead (deg)]]</f>
        <v>6.143338168840792</v>
      </c>
    </row>
    <row r="55" spans="1:34" x14ac:dyDescent="0.25">
      <c r="A55" s="6" t="s">
        <v>32</v>
      </c>
      <c r="B55" t="s">
        <v>37</v>
      </c>
      <c r="C55" t="s">
        <v>36</v>
      </c>
      <c r="D55">
        <v>27.5</v>
      </c>
      <c r="E55" t="str">
        <f t="shared" si="4"/>
        <v>Foiling_LAB2_LARW2-27.5m</v>
      </c>
      <c r="F55">
        <v>17</v>
      </c>
      <c r="G55" s="1">
        <f>ABS(Targets_UW[[#This Row],[BSP (km/h)]]*COS(RADIANS(Targets_UW[[#This Row],[TWA (deg)]]+Targets_UW[[#This Row],[LEEWAY (deg)]])))</f>
        <v>28.932351768464429</v>
      </c>
      <c r="H55" s="1">
        <v>41.5</v>
      </c>
      <c r="I55" s="1">
        <v>44</v>
      </c>
      <c r="J55" s="1">
        <v>1.8</v>
      </c>
      <c r="K55" s="1">
        <v>2.5</v>
      </c>
      <c r="L55" s="1">
        <v>1.5</v>
      </c>
      <c r="M55" s="1">
        <f>Targets_UW[[#This Row],[CANT (deg)]]-Targets_UW[[#This Row],[HEEL (deg)]]</f>
        <v>1</v>
      </c>
      <c r="N55" s="1">
        <v>1150</v>
      </c>
      <c r="O55" s="1">
        <v>0.4</v>
      </c>
      <c r="P55" s="1">
        <v>3.5</v>
      </c>
      <c r="Q55" s="1">
        <v>-3</v>
      </c>
      <c r="R55" s="1">
        <v>-18</v>
      </c>
      <c r="S55" s="1">
        <f>Targets_UW[[#This Row],[CLEW (deg)]]-0.5*Targets_UW[[#This Row],[CA1 (deg)]]</f>
        <v>10.199999999999999</v>
      </c>
      <c r="T55" s="1">
        <v>1.2</v>
      </c>
      <c r="U55" s="1">
        <v>25</v>
      </c>
      <c r="V55" s="1">
        <v>1525</v>
      </c>
      <c r="W55" s="1">
        <v>6.5</v>
      </c>
      <c r="X55" s="1">
        <v>1800</v>
      </c>
      <c r="Y55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54.726135987549775</v>
      </c>
      <c r="Z55" s="1">
        <f>DEGREES(ASIN(Targets_UW[[#This Row],[TWS (km/h)]]*SIN(RADIANS(Targets_UW[[#This Row],[TWA (deg)]]+Targets_UW[[#This Row],[LEEWAY (deg)]]))/Targets_UW[[#This Row],[AWS]]))</f>
        <v>12.867634270889013</v>
      </c>
      <c r="AA55" s="1">
        <f>Targets_UW[[#This Row],[AWA+Leeway]]-Targets_UW[[#This Row],[ROT (deg)]]</f>
        <v>2.6676342708890139</v>
      </c>
      <c r="AB55" s="1">
        <f>Targets_UW[[#This Row],[TWS (km/h)]]*(Targets_UW[[#This Row],[Wing]]/10)^0.1</f>
        <v>18.809713938023496</v>
      </c>
      <c r="AC55" s="1">
        <f>SQRT(Targets_UW[[#This Row],[TWSTop]]^2+Targets_UW[[#This Row],[BSP (km/h)]]^2+2*Targets_UW[[#This Row],[BSP (km/h)]]*Targets_UW[[#This Row],[TWSTop]]*COS(RADIANS(Targets_UW[[#This Row],[TWA (deg)]]+Targets_UW[[#This Row],[LEEWAY (deg)]])))</f>
        <v>56.253656406214553</v>
      </c>
      <c r="AD55" s="1">
        <f>DEGREES(ASIN(Targets_UW[[#This Row],[TWSTop]]*SIN(RADIANS(Targets_UW[[#This Row],[TWA (deg)]]+Targets_UW[[#This Row],[LEEWAY (deg)]]))/Targets_UW[[#This Row],[AWSTop]]))</f>
        <v>13.869760128548284</v>
      </c>
      <c r="AE55" s="1">
        <f>Targets_UW[[#This Row],[AWA+Leeway Top]]-Targets_UW[[#This Row],[ROT (deg)]]</f>
        <v>3.669760128548285</v>
      </c>
      <c r="AF55" s="1">
        <f>Targets_UW[[#This Row],[CLEW (deg)]]+Targets_UW[[#This Row],[TWIST (deg)]]</f>
        <v>26.2</v>
      </c>
      <c r="AG55" s="7">
        <f>Targets_UW[[#This Row],[AWA+Leeway Top]]-Targets_UW[[#This Row],[CA6]]</f>
        <v>-12.330239871451715</v>
      </c>
      <c r="AH55" s="1">
        <f>Targets_UW[[#This Row],[AWA+Leeway]]-Targets_UW[[#This Row],[JibLead (deg)]]</f>
        <v>6.3676342708890132</v>
      </c>
    </row>
    <row r="56" spans="1:34" x14ac:dyDescent="0.25">
      <c r="A56" s="6" t="s">
        <v>32</v>
      </c>
      <c r="B56" t="s">
        <v>37</v>
      </c>
      <c r="C56" t="s">
        <v>36</v>
      </c>
      <c r="D56">
        <v>27.5</v>
      </c>
      <c r="E56" t="str">
        <f t="shared" si="4"/>
        <v>Foiling_LAB2_LARW2-27.5m</v>
      </c>
      <c r="F56">
        <v>18</v>
      </c>
      <c r="G56" s="1">
        <f>ABS(Targets_UW[[#This Row],[BSP (km/h)]]*COS(RADIANS(Targets_UW[[#This Row],[TWA (deg)]]+Targets_UW[[#This Row],[LEEWAY (deg)]])))</f>
        <v>29.203510063004412</v>
      </c>
      <c r="H56" s="1">
        <v>41.3</v>
      </c>
      <c r="I56" s="1">
        <v>43.5</v>
      </c>
      <c r="J56" s="1">
        <v>1.5</v>
      </c>
      <c r="K56" s="1">
        <v>2</v>
      </c>
      <c r="L56" s="1">
        <v>1.5</v>
      </c>
      <c r="M56" s="1">
        <f>Targets_UW[[#This Row],[CANT (deg)]]-Targets_UW[[#This Row],[HEEL (deg)]]</f>
        <v>0.5</v>
      </c>
      <c r="N56" s="1">
        <v>1150</v>
      </c>
      <c r="O56" s="1">
        <v>0.4</v>
      </c>
      <c r="P56" s="1">
        <v>3.5</v>
      </c>
      <c r="Q56" s="1">
        <v>-3</v>
      </c>
      <c r="R56" s="1">
        <v>-17.7</v>
      </c>
      <c r="S56" s="1">
        <f>Targets_UW[[#This Row],[CLEW (deg)]]-0.5*Targets_UW[[#This Row],[CA1 (deg)]]</f>
        <v>10.35</v>
      </c>
      <c r="T56" s="1">
        <v>1.5</v>
      </c>
      <c r="U56" s="1">
        <v>25</v>
      </c>
      <c r="V56" s="1">
        <v>1600</v>
      </c>
      <c r="W56" s="1">
        <v>6.5</v>
      </c>
      <c r="X56" s="1">
        <v>1800</v>
      </c>
      <c r="Y56" s="1">
        <f>SQRT(Targets_UW[[#This Row],[TWS (km/h)]]^2+Targets_UW[[#This Row],[BSP (km/h)]]^2+2*Targets_UW[[#This Row],[TWS (km/h)]]*Targets_UW[[#This Row],[BSP (km/h)]]*COS(RADIANS(Targets_UW[[#This Row],[TWA (deg)]]+Targets_UW[[#This Row],[LEEWAY (deg)]])))</f>
        <v>55.506903735194584</v>
      </c>
      <c r="Z56" s="1">
        <f>DEGREES(ASIN(Targets_UW[[#This Row],[TWS (km/h)]]*SIN(RADIANS(Targets_UW[[#This Row],[TWA (deg)]]+Targets_UW[[#This Row],[LEEWAY (deg)]]))/Targets_UW[[#This Row],[AWS]]))</f>
        <v>13.256063803335525</v>
      </c>
      <c r="AA56" s="1">
        <f>Targets_UW[[#This Row],[AWA+Leeway]]-Targets_UW[[#This Row],[ROT (deg)]]</f>
        <v>2.9060638033355257</v>
      </c>
      <c r="AB56" s="1">
        <f>Targets_UW[[#This Row],[TWS (km/h)]]*(Targets_UW[[#This Row],[Wing]]/10)^0.1</f>
        <v>19.916167699083701</v>
      </c>
      <c r="AC56" s="1">
        <f>SQRT(Targets_UW[[#This Row],[TWSTop]]^2+Targets_UW[[#This Row],[BSP (km/h)]]^2+2*Targets_UW[[#This Row],[BSP (km/h)]]*Targets_UW[[#This Row],[TWSTop]]*COS(RADIANS(Targets_UW[[#This Row],[TWA (deg)]]+Targets_UW[[#This Row],[LEEWAY (deg)]])))</f>
        <v>57.145321273498617</v>
      </c>
      <c r="AD56" s="1">
        <f>DEGREES(ASIN(Targets_UW[[#This Row],[TWSTop]]*SIN(RADIANS(Targets_UW[[#This Row],[TWA (deg)]]+Targets_UW[[#This Row],[LEEWAY (deg)]]))/Targets_UW[[#This Row],[AWSTop]]))</f>
        <v>14.266912255281586</v>
      </c>
      <c r="AE56" s="1">
        <f>Targets_UW[[#This Row],[AWA+Leeway Top]]-Targets_UW[[#This Row],[ROT (deg)]]</f>
        <v>3.916912255281586</v>
      </c>
      <c r="AF56" s="1">
        <f>Targets_UW[[#This Row],[CLEW (deg)]]+Targets_UW[[#This Row],[TWIST (deg)]]</f>
        <v>26.5</v>
      </c>
      <c r="AG56" s="7">
        <f>Targets_UW[[#This Row],[AWA+Leeway Top]]-Targets_UW[[#This Row],[CA6]]</f>
        <v>-12.233087744718414</v>
      </c>
      <c r="AH56" s="1">
        <f>Targets_UW[[#This Row],[AWA+Leeway]]-Targets_UW[[#This Row],[JibLead (deg)]]</f>
        <v>6.7560638033355254</v>
      </c>
    </row>
    <row r="57" spans="1:34" ht="15.75" thickBot="1" x14ac:dyDescent="0.3">
      <c r="A57" s="8" t="s">
        <v>32</v>
      </c>
      <c r="B57" s="9" t="s">
        <v>37</v>
      </c>
      <c r="C57" s="9" t="s">
        <v>36</v>
      </c>
      <c r="D57" s="9">
        <v>27.5</v>
      </c>
      <c r="E57" s="9" t="str">
        <f t="shared" si="4"/>
        <v>Foiling_LAB2_LARW2-27.5m</v>
      </c>
      <c r="F57" s="9">
        <v>20</v>
      </c>
      <c r="G57" s="10">
        <f>ABS(Targets_UW[[#This Row],[BSP (km/h)]]*COS(RADIANS(Targets_UW[[#This Row],[TWA (deg)]]+Targets_UW[[#This Row],[LEEWAY (deg)]])))</f>
        <v>29.492931813884699</v>
      </c>
      <c r="H57" s="10">
        <v>41</v>
      </c>
      <c r="I57" s="10">
        <v>43</v>
      </c>
      <c r="J57" s="10">
        <v>1</v>
      </c>
      <c r="K57" s="10">
        <v>0.5</v>
      </c>
      <c r="L57" s="10">
        <v>1.5</v>
      </c>
      <c r="M57" s="10">
        <f>Targets_UW[[#This Row],[CANT (deg)]]-Targets_UW[[#This Row],[HEEL (deg)]]</f>
        <v>-1</v>
      </c>
      <c r="N57" s="10">
        <v>1150</v>
      </c>
      <c r="O57" s="10">
        <v>0.4</v>
      </c>
      <c r="P57" s="10">
        <v>3.5</v>
      </c>
      <c r="Q57" s="10">
        <v>-3</v>
      </c>
      <c r="R57" s="10">
        <v>-17.2</v>
      </c>
      <c r="S57" s="10">
        <f>Targets_UW[[#This Row],[CLEW (deg)]]-0.5*Targets_UW[[#This Row],[CA1 (deg)]]</f>
        <v>10.1</v>
      </c>
      <c r="T57" s="10">
        <v>1.5</v>
      </c>
      <c r="U57" s="10">
        <v>25</v>
      </c>
      <c r="V57" s="10">
        <v>1700</v>
      </c>
      <c r="W57" s="10">
        <v>6.5</v>
      </c>
      <c r="X57" s="10">
        <v>1800</v>
      </c>
      <c r="Y57" s="10">
        <f>SQRT(Targets_UW[[#This Row],[TWS (km/h)]]^2+Targets_UW[[#This Row],[BSP (km/h)]]^2+2*Targets_UW[[#This Row],[TWS (km/h)]]*Targets_UW[[#This Row],[BSP (km/h)]]*COS(RADIANS(Targets_UW[[#This Row],[TWA (deg)]]+Targets_UW[[#This Row],[LEEWAY (deg)]])))</f>
        <v>57.102690589458113</v>
      </c>
      <c r="Z57" s="10">
        <f>DEGREES(ASIN(Targets_UW[[#This Row],[TWS (km/h)]]*SIN(RADIANS(Targets_UW[[#This Row],[TWA (deg)]]+Targets_UW[[#This Row],[LEEWAY (deg)]]))/Targets_UW[[#This Row],[AWS]]))</f>
        <v>14.081476887946495</v>
      </c>
      <c r="AA57" s="10">
        <f>Targets_UW[[#This Row],[AWA+Leeway]]-Targets_UW[[#This Row],[ROT (deg)]]</f>
        <v>3.9814768879464957</v>
      </c>
      <c r="AB57" s="10">
        <f>Targets_UW[[#This Row],[TWS (km/h)]]*(Targets_UW[[#This Row],[Wing]]/10)^0.1</f>
        <v>22.129075221204111</v>
      </c>
      <c r="AC57" s="10">
        <f>SQRT(Targets_UW[[#This Row],[TWSTop]]^2+Targets_UW[[#This Row],[BSP (km/h)]]^2+2*Targets_UW[[#This Row],[BSP (km/h)]]*Targets_UW[[#This Row],[TWSTop]]*COS(RADIANS(Targets_UW[[#This Row],[TWA (deg)]]+Targets_UW[[#This Row],[LEEWAY (deg)]])))</f>
        <v>58.957599877813095</v>
      </c>
      <c r="AD57" s="10">
        <f>DEGREES(ASIN(Targets_UW[[#This Row],[TWSTop]]*SIN(RADIANS(Targets_UW[[#This Row],[TWA (deg)]]+Targets_UW[[#This Row],[LEEWAY (deg)]]))/Targets_UW[[#This Row],[AWSTop]]))</f>
        <v>15.113515355344378</v>
      </c>
      <c r="AE57" s="10">
        <f>Targets_UW[[#This Row],[AWA+Leeway Top]]-Targets_UW[[#This Row],[ROT (deg)]]</f>
        <v>5.0135153553443779</v>
      </c>
      <c r="AF57" s="10">
        <f>Targets_UW[[#This Row],[CLEW (deg)]]+Targets_UW[[#This Row],[TWIST (deg)]]</f>
        <v>26.5</v>
      </c>
      <c r="AG57" s="11">
        <f>Targets_UW[[#This Row],[AWA+Leeway Top]]-Targets_UW[[#This Row],[CA6]]</f>
        <v>-11.386484644655622</v>
      </c>
      <c r="AH57" s="1">
        <f>Targets_UW[[#This Row],[AWA+Leeway]]-Targets_UW[[#This Row],[JibLead (deg)]]</f>
        <v>7.5814768879464953</v>
      </c>
    </row>
    <row r="58" spans="1:34" x14ac:dyDescent="0.25">
      <c r="A58" s="12" t="s">
        <v>38</v>
      </c>
      <c r="B58" s="13" t="s">
        <v>33</v>
      </c>
      <c r="C58" s="13" t="s">
        <v>36</v>
      </c>
      <c r="D58" s="13">
        <v>24</v>
      </c>
      <c r="E58" s="13" t="str">
        <f t="shared" si="4"/>
        <v>H2_HSB2_LARW2-24m</v>
      </c>
      <c r="F58" s="13">
        <v>7</v>
      </c>
      <c r="G58" s="14">
        <f>ABS(Targets_UW[[#This Row],[BSP (km/h)]]*COS(RADIANS(Targets_UW[[#This Row],[TWA (deg)]]+Targets_UW[[#This Row],[LEEWAY (deg)]])))</f>
        <v>7.4352848343917675</v>
      </c>
      <c r="H58" s="14">
        <v>12.5</v>
      </c>
      <c r="I58" s="14">
        <v>50</v>
      </c>
      <c r="J58" s="14">
        <v>3.5</v>
      </c>
      <c r="K58" s="14">
        <v>3.5</v>
      </c>
      <c r="L58" s="14">
        <v>-0.5</v>
      </c>
      <c r="M58" s="14">
        <f>Targets_UW[[#This Row],[CANT (deg)]]-Targets_UW[[#This Row],[HEEL (deg)]]</f>
        <v>4</v>
      </c>
      <c r="N58" s="14"/>
      <c r="O58" s="14">
        <v>0</v>
      </c>
      <c r="P58" s="14">
        <v>2.7</v>
      </c>
      <c r="Q58" s="14">
        <v>-0.1</v>
      </c>
      <c r="R58" s="14">
        <v>-29</v>
      </c>
      <c r="S58" s="14">
        <f>Targets_UW[[#This Row],[CLEW (deg)]]-0.5*Targets_UW[[#This Row],[CA1 (deg)]]</f>
        <v>14.5</v>
      </c>
      <c r="T58" s="14">
        <v>0</v>
      </c>
      <c r="U58" s="14">
        <v>5</v>
      </c>
      <c r="V58" s="14">
        <v>50</v>
      </c>
      <c r="W58" s="14">
        <v>6</v>
      </c>
      <c r="X58" s="14">
        <v>50</v>
      </c>
      <c r="Y58" s="14">
        <f>SQRT(Targets_UW[[#This Row],[TWS (km/h)]]^2+Targets_UW[[#This Row],[BSP (km/h)]]^2+2*Targets_UW[[#This Row],[TWS (km/h)]]*Targets_UW[[#This Row],[BSP (km/h)]]*COS(RADIANS(Targets_UW[[#This Row],[TWA (deg)]]+Targets_UW[[#This Row],[LEEWAY (deg)]])))</f>
        <v>17.588177497440853</v>
      </c>
      <c r="Z58" s="14">
        <f>DEGREES(ASIN(Targets_UW[[#This Row],[TWS (km/h)]]*SIN(RADIANS(Targets_UW[[#This Row],[TWA (deg)]]+Targets_UW[[#This Row],[LEEWAY (deg)]]))/Targets_UW[[#This Row],[AWS]]))</f>
        <v>18.658734262888483</v>
      </c>
      <c r="AA58" s="14">
        <f>Targets_UW[[#This Row],[AWA+Leeway]]-Targets_UW[[#This Row],[ROT (deg)]]</f>
        <v>4.1587342628884834</v>
      </c>
      <c r="AB58" s="14">
        <f>Targets_UW[[#This Row],[TWS (km/h)]]*(Targets_UW[[#This Row],[Wing]]/10)^0.1</f>
        <v>7.6404539793252786</v>
      </c>
      <c r="AC58" s="14">
        <f>SQRT(Targets_UW[[#This Row],[TWSTop]]^2+Targets_UW[[#This Row],[BSP (km/h)]]^2+2*Targets_UW[[#This Row],[BSP (km/h)]]*Targets_UW[[#This Row],[TWSTop]]*COS(RADIANS(Targets_UW[[#This Row],[TWA (deg)]]+Targets_UW[[#This Row],[LEEWAY (deg)]])))</f>
        <v>18.117517495807157</v>
      </c>
      <c r="AD58" s="14">
        <f>DEGREES(ASIN(Targets_UW[[#This Row],[TWSTop]]*SIN(RADIANS(Targets_UW[[#This Row],[TWA (deg)]]+Targets_UW[[#This Row],[LEEWAY (deg)]]))/Targets_UW[[#This Row],[AWSTop]]))</f>
        <v>19.815936577907141</v>
      </c>
      <c r="AE58" s="14">
        <f>Targets_UW[[#This Row],[AWA+Leeway Top]]-Targets_UW[[#This Row],[ROT (deg)]]</f>
        <v>5.3159365779071415</v>
      </c>
      <c r="AF58" s="14">
        <f>Targets_UW[[#This Row],[CLEW (deg)]]+Targets_UW[[#This Row],[TWIST (deg)]]</f>
        <v>5</v>
      </c>
      <c r="AG58" s="15">
        <f>Targets_UW[[#This Row],[AWA+Leeway Top]]-Targets_UW[[#This Row],[CA6]]</f>
        <v>14.815936577907141</v>
      </c>
      <c r="AH58" s="16">
        <f>Targets_UW[[#This Row],[AWA+Leeway]]-Targets_UW[[#This Row],[JibLead (deg)]]</f>
        <v>12.658734262888483</v>
      </c>
    </row>
    <row r="59" spans="1:34" x14ac:dyDescent="0.25">
      <c r="A59" s="17" t="s">
        <v>38</v>
      </c>
      <c r="B59" s="18" t="s">
        <v>33</v>
      </c>
      <c r="C59" s="18" t="s">
        <v>36</v>
      </c>
      <c r="D59" s="18">
        <v>24</v>
      </c>
      <c r="E59" s="18" t="str">
        <f t="shared" ref="E59:E72" si="6">A59 &amp; "_" &amp; B59 &amp; "_" &amp; C59 &amp; "-" &amp; D59 &amp; "m"</f>
        <v>H2_HSB2_LARW2-24m</v>
      </c>
      <c r="F59" s="18">
        <v>9</v>
      </c>
      <c r="G59" s="16">
        <f>ABS(Targets_UW[[#This Row],[BSP (km/h)]]*COS(RADIANS(Targets_UW[[#This Row],[TWA (deg)]]+Targets_UW[[#This Row],[LEEWAY (deg)]])))</f>
        <v>8.7675486524574797</v>
      </c>
      <c r="H59" s="16">
        <v>13.5</v>
      </c>
      <c r="I59" s="16">
        <v>46</v>
      </c>
      <c r="J59" s="16">
        <v>3.5</v>
      </c>
      <c r="K59" s="16">
        <v>2.5999999999999996</v>
      </c>
      <c r="L59" s="16">
        <v>-1.4</v>
      </c>
      <c r="M59" s="16">
        <f>Targets_UW[[#This Row],[CANT (deg)]]-Targets_UW[[#This Row],[HEEL (deg)]]</f>
        <v>3.9999999999999996</v>
      </c>
      <c r="N59" s="16"/>
      <c r="O59" s="16">
        <v>0</v>
      </c>
      <c r="P59" s="16">
        <v>2.7</v>
      </c>
      <c r="Q59" s="16">
        <v>-0.1</v>
      </c>
      <c r="R59" s="16">
        <v>-29</v>
      </c>
      <c r="S59" s="16">
        <f>Targets_UW[[#This Row],[CLEW (deg)]]-0.5*Targets_UW[[#This Row],[CA1 (deg)]]</f>
        <v>14.5</v>
      </c>
      <c r="T59" s="16">
        <v>0</v>
      </c>
      <c r="U59" s="16">
        <v>6</v>
      </c>
      <c r="V59" s="16">
        <v>70</v>
      </c>
      <c r="W59" s="16">
        <v>6.8</v>
      </c>
      <c r="X59" s="16">
        <v>200</v>
      </c>
      <c r="Y59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20.519889759553646</v>
      </c>
      <c r="Z59" s="16">
        <f>DEGREES(ASIN(Targets_UW[[#This Row],[TWS (km/h)]]*SIN(RADIANS(Targets_UW[[#This Row],[TWA (deg)]]+Targets_UW[[#This Row],[LEEWAY (deg)]]))/Targets_UW[[#This Row],[AWS]]))</f>
        <v>19.482150538301298</v>
      </c>
      <c r="AA59" s="16">
        <f>Targets_UW[[#This Row],[AWA+Leeway]]-Targets_UW[[#This Row],[ROT (deg)]]</f>
        <v>4.9821505383012976</v>
      </c>
      <c r="AB59" s="16">
        <f>Targets_UW[[#This Row],[TWS (km/h)]]*(Targets_UW[[#This Row],[Wing]]/10)^0.1</f>
        <v>9.8234408305610721</v>
      </c>
      <c r="AC59" s="16">
        <f>SQRT(Targets_UW[[#This Row],[TWSTop]]^2+Targets_UW[[#This Row],[BSP (km/h)]]^2+2*Targets_UW[[#This Row],[BSP (km/h)]]*Targets_UW[[#This Row],[TWSTop]]*COS(RADIANS(Targets_UW[[#This Row],[TWA (deg)]]+Targets_UW[[#This Row],[LEEWAY (deg)]])))</f>
        <v>21.236877844553739</v>
      </c>
      <c r="AD59" s="16">
        <f>DEGREES(ASIN(Targets_UW[[#This Row],[TWSTop]]*SIN(RADIANS(Targets_UW[[#This Row],[TWA (deg)]]+Targets_UW[[#This Row],[LEEWAY (deg)]]))/Targets_UW[[#This Row],[AWSTop]]))</f>
        <v>20.593615715255588</v>
      </c>
      <c r="AE59" s="16">
        <f>Targets_UW[[#This Row],[AWA+Leeway Top]]-Targets_UW[[#This Row],[ROT (deg)]]</f>
        <v>6.0936157152555879</v>
      </c>
      <c r="AF59" s="16">
        <f>Targets_UW[[#This Row],[CLEW (deg)]]+Targets_UW[[#This Row],[TWIST (deg)]]</f>
        <v>6</v>
      </c>
      <c r="AG59" s="19">
        <f>Targets_UW[[#This Row],[AWA+Leeway Top]]-Targets_UW[[#This Row],[CA6]]</f>
        <v>14.593615715255588</v>
      </c>
      <c r="AH59" s="16">
        <f>Targets_UW[[#This Row],[AWA+Leeway]]-Targets_UW[[#This Row],[JibLead (deg)]]</f>
        <v>12.682150538301297</v>
      </c>
    </row>
    <row r="60" spans="1:34" x14ac:dyDescent="0.25">
      <c r="A60" s="17" t="s">
        <v>38</v>
      </c>
      <c r="B60" s="18" t="s">
        <v>33</v>
      </c>
      <c r="C60" s="18" t="s">
        <v>36</v>
      </c>
      <c r="D60" s="18">
        <v>24</v>
      </c>
      <c r="E60" s="18" t="str">
        <f t="shared" si="6"/>
        <v>H2_HSB2_LARW2-24m</v>
      </c>
      <c r="F60" s="18">
        <v>11</v>
      </c>
      <c r="G60" s="16">
        <f>ABS(Targets_UW[[#This Row],[BSP (km/h)]]*COS(RADIANS(Targets_UW[[#This Row],[TWA (deg)]]+Targets_UW[[#This Row],[LEEWAY (deg)]])))</f>
        <v>9.9393007232360624</v>
      </c>
      <c r="H60" s="16">
        <v>15</v>
      </c>
      <c r="I60" s="16">
        <v>45</v>
      </c>
      <c r="J60" s="16">
        <v>3.5</v>
      </c>
      <c r="K60" s="16">
        <v>2</v>
      </c>
      <c r="L60" s="16">
        <v>-2</v>
      </c>
      <c r="M60" s="16">
        <f>Targets_UW[[#This Row],[CANT (deg)]]-Targets_UW[[#This Row],[HEEL (deg)]]</f>
        <v>4</v>
      </c>
      <c r="N60" s="16"/>
      <c r="O60" s="16">
        <v>0</v>
      </c>
      <c r="P60" s="16">
        <v>2.7</v>
      </c>
      <c r="Q60" s="16">
        <v>-0.1</v>
      </c>
      <c r="R60" s="16">
        <v>-29</v>
      </c>
      <c r="S60" s="16">
        <f>Targets_UW[[#This Row],[CLEW (deg)]]-0.5*Targets_UW[[#This Row],[CA1 (deg)]]</f>
        <v>14.5</v>
      </c>
      <c r="T60" s="16">
        <v>0</v>
      </c>
      <c r="U60" s="16">
        <v>6.5</v>
      </c>
      <c r="V60" s="16">
        <v>100</v>
      </c>
      <c r="W60" s="16">
        <v>7.6</v>
      </c>
      <c r="X60" s="16">
        <v>300</v>
      </c>
      <c r="Y60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23.76267274342668</v>
      </c>
      <c r="Z60" s="16">
        <f>DEGREES(ASIN(Targets_UW[[#This Row],[TWS (km/h)]]*SIN(RADIANS(Targets_UW[[#This Row],[TWA (deg)]]+Targets_UW[[#This Row],[LEEWAY (deg)]]))/Targets_UW[[#This Row],[AWS]]))</f>
        <v>20.285589995940004</v>
      </c>
      <c r="AA60" s="16">
        <f>Targets_UW[[#This Row],[AWA+Leeway]]-Targets_UW[[#This Row],[ROT (deg)]]</f>
        <v>5.7855899959400041</v>
      </c>
      <c r="AB60" s="16">
        <f>Targets_UW[[#This Row],[TWS (km/h)]]*(Targets_UW[[#This Row],[Wing]]/10)^0.1</f>
        <v>12.006427681796866</v>
      </c>
      <c r="AC60" s="16">
        <f>SQRT(Targets_UW[[#This Row],[TWSTop]]^2+Targets_UW[[#This Row],[BSP (km/h)]]^2+2*Targets_UW[[#This Row],[BSP (km/h)]]*Targets_UW[[#This Row],[TWSTop]]*COS(RADIANS(Targets_UW[[#This Row],[TWA (deg)]]+Targets_UW[[#This Row],[LEEWAY (deg)]])))</f>
        <v>24.654113173272897</v>
      </c>
      <c r="AD60" s="16">
        <f>DEGREES(ASIN(Targets_UW[[#This Row],[TWSTop]]*SIN(RADIANS(Targets_UW[[#This Row],[TWA (deg)]]+Targets_UW[[#This Row],[LEEWAY (deg)]]))/Targets_UW[[#This Row],[AWSTop]]))</f>
        <v>21.391436626680044</v>
      </c>
      <c r="AE60" s="16">
        <f>Targets_UW[[#This Row],[AWA+Leeway Top]]-Targets_UW[[#This Row],[ROT (deg)]]</f>
        <v>6.8914366266800435</v>
      </c>
      <c r="AF60" s="16">
        <f>Targets_UW[[#This Row],[CLEW (deg)]]+Targets_UW[[#This Row],[TWIST (deg)]]</f>
        <v>6.5</v>
      </c>
      <c r="AG60" s="19">
        <f>Targets_UW[[#This Row],[AWA+Leeway Top]]-Targets_UW[[#This Row],[CA6]]</f>
        <v>14.891436626680044</v>
      </c>
      <c r="AH60" s="16">
        <f>Targets_UW[[#This Row],[AWA+Leeway]]-Targets_UW[[#This Row],[JibLead (deg)]]</f>
        <v>12.685589995940004</v>
      </c>
    </row>
    <row r="61" spans="1:34" x14ac:dyDescent="0.25">
      <c r="A61" s="17" t="s">
        <v>38</v>
      </c>
      <c r="B61" s="18" t="s">
        <v>33</v>
      </c>
      <c r="C61" s="18" t="s">
        <v>36</v>
      </c>
      <c r="D61" s="18">
        <v>24</v>
      </c>
      <c r="E61" s="18" t="str">
        <f t="shared" si="6"/>
        <v>H2_HSB2_LARW2-24m</v>
      </c>
      <c r="F61" s="18">
        <v>13</v>
      </c>
      <c r="G61" s="16">
        <f>ABS(Targets_UW[[#This Row],[BSP (km/h)]]*COS(RADIANS(Targets_UW[[#This Row],[TWA (deg)]]+Targets_UW[[#This Row],[LEEWAY (deg)]])))</f>
        <v>11.264540819667538</v>
      </c>
      <c r="H61" s="16">
        <v>17</v>
      </c>
      <c r="I61" s="16">
        <v>45</v>
      </c>
      <c r="J61" s="16">
        <v>3.5</v>
      </c>
      <c r="K61" s="16">
        <v>1.5</v>
      </c>
      <c r="L61" s="16">
        <v>-2.5</v>
      </c>
      <c r="M61" s="16">
        <f>Targets_UW[[#This Row],[CANT (deg)]]-Targets_UW[[#This Row],[HEEL (deg)]]</f>
        <v>4</v>
      </c>
      <c r="N61" s="16"/>
      <c r="O61" s="16">
        <v>0</v>
      </c>
      <c r="P61" s="16">
        <v>2.7</v>
      </c>
      <c r="Q61" s="16">
        <v>-0.1</v>
      </c>
      <c r="R61" s="16">
        <v>-29</v>
      </c>
      <c r="S61" s="16">
        <f>Targets_UW[[#This Row],[CLEW (deg)]]-0.5*Targets_UW[[#This Row],[CA1 (deg)]]</f>
        <v>14.5</v>
      </c>
      <c r="T61" s="16">
        <v>0</v>
      </c>
      <c r="U61" s="16">
        <v>7</v>
      </c>
      <c r="V61" s="16">
        <v>130</v>
      </c>
      <c r="W61" s="16">
        <v>8.1</v>
      </c>
      <c r="X61" s="16">
        <v>400</v>
      </c>
      <c r="Y61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27.402154318800484</v>
      </c>
      <c r="Z61" s="16">
        <f>DEGREES(ASIN(Targets_UW[[#This Row],[TWS (km/h)]]*SIN(RADIANS(Targets_UW[[#This Row],[TWA (deg)]]+Targets_UW[[#This Row],[LEEWAY (deg)]]))/Targets_UW[[#This Row],[AWS]]))</f>
        <v>20.812813661043414</v>
      </c>
      <c r="AA61" s="16">
        <f>Targets_UW[[#This Row],[AWA+Leeway]]-Targets_UW[[#This Row],[ROT (deg)]]</f>
        <v>6.312813661043414</v>
      </c>
      <c r="AB61" s="16">
        <f>Targets_UW[[#This Row],[TWS (km/h)]]*(Targets_UW[[#This Row],[Wing]]/10)^0.1</f>
        <v>14.189414533032661</v>
      </c>
      <c r="AC61" s="16">
        <f>SQRT(Targets_UW[[#This Row],[TWSTop]]^2+Targets_UW[[#This Row],[BSP (km/h)]]^2+2*Targets_UW[[#This Row],[BSP (km/h)]]*Targets_UW[[#This Row],[TWSTop]]*COS(RADIANS(Targets_UW[[#This Row],[TWA (deg)]]+Targets_UW[[#This Row],[LEEWAY (deg)]])))</f>
        <v>28.460744249216301</v>
      </c>
      <c r="AD61" s="16">
        <f>DEGREES(ASIN(Targets_UW[[#This Row],[TWSTop]]*SIN(RADIANS(Targets_UW[[#This Row],[TWA (deg)]]+Targets_UW[[#This Row],[LEEWAY (deg)]]))/Targets_UW[[#This Row],[AWSTop]]))</f>
        <v>21.925460332244143</v>
      </c>
      <c r="AE61" s="16">
        <f>Targets_UW[[#This Row],[AWA+Leeway Top]]-Targets_UW[[#This Row],[ROT (deg)]]</f>
        <v>7.4254603322441426</v>
      </c>
      <c r="AF61" s="16">
        <f>Targets_UW[[#This Row],[CLEW (deg)]]+Targets_UW[[#This Row],[TWIST (deg)]]</f>
        <v>7</v>
      </c>
      <c r="AG61" s="19">
        <f>Targets_UW[[#This Row],[AWA+Leeway Top]]-Targets_UW[[#This Row],[CA6]]</f>
        <v>14.925460332244143</v>
      </c>
      <c r="AH61" s="16">
        <f>Targets_UW[[#This Row],[AWA+Leeway]]-Targets_UW[[#This Row],[JibLead (deg)]]</f>
        <v>12.712813661043414</v>
      </c>
    </row>
    <row r="62" spans="1:34" x14ac:dyDescent="0.25">
      <c r="A62" s="20" t="s">
        <v>40</v>
      </c>
      <c r="B62" s="21" t="s">
        <v>33</v>
      </c>
      <c r="C62" s="21" t="s">
        <v>36</v>
      </c>
      <c r="D62" s="21">
        <v>24</v>
      </c>
      <c r="E62" s="21" t="str">
        <f>A62 &amp; "_" &amp; B62 &amp; "_" &amp; C62 &amp; "-" &amp; D62 &amp; "m"</f>
        <v>H1-2B_HSB2_LARW2-24m</v>
      </c>
      <c r="F62" s="21">
        <v>10</v>
      </c>
      <c r="G62" s="22">
        <f>ABS(Targets_UW[[#This Row],[BSP (km/h)]]*COS(RADIANS(Targets_UW[[#This Row],[TWA (deg)]]+Targets_UW[[#This Row],[LEEWAY (deg)]])))</f>
        <v>8.1116989244133428</v>
      </c>
      <c r="H62" s="22">
        <v>17</v>
      </c>
      <c r="I62" s="22">
        <v>57</v>
      </c>
      <c r="J62" s="22">
        <v>4.5</v>
      </c>
      <c r="K62" s="22">
        <v>0</v>
      </c>
      <c r="L62" s="22">
        <v>-9</v>
      </c>
      <c r="M62" s="22">
        <f>Targets_UW[[#This Row],[CANT (deg)]]-Targets_UW[[#This Row],[HEEL (deg)]]</f>
        <v>9</v>
      </c>
      <c r="N62" s="22"/>
      <c r="O62" s="22">
        <v>0</v>
      </c>
      <c r="P62" s="22">
        <v>3.3</v>
      </c>
      <c r="Q62" s="22">
        <v>-0.5</v>
      </c>
      <c r="R62" s="22">
        <v>-32</v>
      </c>
      <c r="S62" s="22">
        <f>Targets_UW[[#This Row],[CLEW (deg)]]-0.5*Targets_UW[[#This Row],[CA1 (deg)]]</f>
        <v>12</v>
      </c>
      <c r="T62" s="22">
        <v>-4</v>
      </c>
      <c r="U62" s="22">
        <v>8.9</v>
      </c>
      <c r="V62" s="22">
        <v>90</v>
      </c>
      <c r="W62" s="22">
        <v>9</v>
      </c>
      <c r="X62" s="22">
        <v>280</v>
      </c>
      <c r="Y62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23.478372568989251</v>
      </c>
      <c r="Z62" s="22">
        <f>DEGREES(ASIN(Targets_UW[[#This Row],[TWS (km/h)]]*SIN(RADIANS(Targets_UW[[#This Row],[TWA (deg)]]+Targets_UW[[#This Row],[LEEWAY (deg)]]))/Targets_UW[[#This Row],[AWS]]))</f>
        <v>21.981624337307576</v>
      </c>
      <c r="AA62" s="22">
        <f>Targets_UW[[#This Row],[AWA+Leeway]]-Targets_UW[[#This Row],[ROT (deg)]]</f>
        <v>9.9816243373075757</v>
      </c>
      <c r="AB62" s="22">
        <f>Targets_UW[[#This Row],[TWS (km/h)]]*(Targets_UW[[#This Row],[Wing]]/10)^0.1</f>
        <v>10.91493425617897</v>
      </c>
      <c r="AC62" s="22">
        <f>SQRT(Targets_UW[[#This Row],[TWSTop]]^2+Targets_UW[[#This Row],[BSP (km/h)]]^2+2*Targets_UW[[#This Row],[BSP (km/h)]]*Targets_UW[[#This Row],[TWSTop]]*COS(RADIANS(Targets_UW[[#This Row],[TWA (deg)]]+Targets_UW[[#This Row],[LEEWAY (deg)]])))</f>
        <v>24.191178366265827</v>
      </c>
      <c r="AD62" s="22">
        <f>DEGREES(ASIN(Targets_UW[[#This Row],[TWSTop]]*SIN(RADIANS(Targets_UW[[#This Row],[TWA (deg)]]+Targets_UW[[#This Row],[LEEWAY (deg)]]))/Targets_UW[[#This Row],[AWSTop]]))</f>
        <v>23.360664345873644</v>
      </c>
      <c r="AE62" s="22">
        <f>Targets_UW[[#This Row],[AWA+Leeway Top]]-Targets_UW[[#This Row],[ROT (deg)]]</f>
        <v>11.360664345873644</v>
      </c>
      <c r="AF62" s="22">
        <f>Targets_UW[[#This Row],[CLEW (deg)]]+Targets_UW[[#This Row],[TWIST (deg)]]</f>
        <v>4.9000000000000004</v>
      </c>
      <c r="AG62" s="23">
        <f>Targets_UW[[#This Row],[AWA+Leeway Top]]-Targets_UW[[#This Row],[CA6]]</f>
        <v>18.460664345873646</v>
      </c>
      <c r="AH62" s="22">
        <f>Targets_UW[[#This Row],[AWA+Leeway]]-Targets_UW[[#This Row],[JibLead (deg)]]</f>
        <v>12.981624337307576</v>
      </c>
    </row>
    <row r="63" spans="1:34" x14ac:dyDescent="0.25">
      <c r="A63" s="20" t="s">
        <v>40</v>
      </c>
      <c r="B63" s="21" t="s">
        <v>33</v>
      </c>
      <c r="C63" s="21" t="s">
        <v>36</v>
      </c>
      <c r="D63" s="21">
        <v>24</v>
      </c>
      <c r="E63" s="21" t="str">
        <f t="shared" si="6"/>
        <v>H1-2B_HSB2_LARW2-24m</v>
      </c>
      <c r="F63" s="21">
        <v>11</v>
      </c>
      <c r="G63" s="22">
        <f>ABS(Targets_UW[[#This Row],[BSP (km/h)]]*COS(RADIANS(Targets_UW[[#This Row],[TWA (deg)]]+Targets_UW[[#This Row],[LEEWAY (deg)]])))</f>
        <v>9.658897242961018</v>
      </c>
      <c r="H63" s="22">
        <v>17.5</v>
      </c>
      <c r="I63" s="22">
        <v>52</v>
      </c>
      <c r="J63" s="22">
        <v>4.5</v>
      </c>
      <c r="K63" s="22">
        <v>0</v>
      </c>
      <c r="L63" s="22">
        <v>-9</v>
      </c>
      <c r="M63" s="22">
        <f>Targets_UW[[#This Row],[CANT (deg)]]-Targets_UW[[#This Row],[HEEL (deg)]]</f>
        <v>9</v>
      </c>
      <c r="N63" s="22"/>
      <c r="O63" s="22">
        <v>0</v>
      </c>
      <c r="P63" s="22">
        <v>3.3</v>
      </c>
      <c r="Q63" s="22">
        <v>-0.5</v>
      </c>
      <c r="R63" s="22">
        <v>-31</v>
      </c>
      <c r="S63" s="22">
        <f>Targets_UW[[#This Row],[CLEW (deg)]]-0.5*Targets_UW[[#This Row],[CA1 (deg)]]</f>
        <v>11.5</v>
      </c>
      <c r="T63" s="22">
        <v>-4</v>
      </c>
      <c r="U63" s="22">
        <v>8</v>
      </c>
      <c r="V63" s="22">
        <v>120</v>
      </c>
      <c r="W63" s="22">
        <v>8.3000000000000007</v>
      </c>
      <c r="X63" s="22">
        <v>350</v>
      </c>
      <c r="Y63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25.293195514705975</v>
      </c>
      <c r="Z63" s="22">
        <f>DEGREES(ASIN(Targets_UW[[#This Row],[TWS (km/h)]]*SIN(RADIANS(Targets_UW[[#This Row],[TWA (deg)]]+Targets_UW[[#This Row],[LEEWAY (deg)]]))/Targets_UW[[#This Row],[AWS]]))</f>
        <v>21.263436236671694</v>
      </c>
      <c r="AA63" s="22">
        <f>Targets_UW[[#This Row],[AWA+Leeway]]-Targets_UW[[#This Row],[ROT (deg)]]</f>
        <v>9.7634362366716942</v>
      </c>
      <c r="AB63" s="22">
        <f>Targets_UW[[#This Row],[TWS (km/h)]]*(Targets_UW[[#This Row],[Wing]]/10)^0.1</f>
        <v>12.006427681796866</v>
      </c>
      <c r="AC63" s="22">
        <f>SQRT(Targets_UW[[#This Row],[TWSTop]]^2+Targets_UW[[#This Row],[BSP (km/h)]]^2+2*Targets_UW[[#This Row],[BSP (km/h)]]*Targets_UW[[#This Row],[TWSTop]]*COS(RADIANS(Targets_UW[[#This Row],[TWA (deg)]]+Targets_UW[[#This Row],[LEEWAY (deg)]])))</f>
        <v>26.121676978043642</v>
      </c>
      <c r="AD63" s="22">
        <f>DEGREES(ASIN(Targets_UW[[#This Row],[TWSTop]]*SIN(RADIANS(Targets_UW[[#This Row],[TWA (deg)]]+Targets_UW[[#This Row],[LEEWAY (deg)]]))/Targets_UW[[#This Row],[AWSTop]]))</f>
        <v>22.537176455126072</v>
      </c>
      <c r="AE63" s="22">
        <f>Targets_UW[[#This Row],[AWA+Leeway Top]]-Targets_UW[[#This Row],[ROT (deg)]]</f>
        <v>11.037176455126072</v>
      </c>
      <c r="AF63" s="22">
        <f>Targets_UW[[#This Row],[CLEW (deg)]]+Targets_UW[[#This Row],[TWIST (deg)]]</f>
        <v>4</v>
      </c>
      <c r="AG63" s="23">
        <f>Targets_UW[[#This Row],[AWA+Leeway Top]]-Targets_UW[[#This Row],[CA6]]</f>
        <v>18.537176455126072</v>
      </c>
      <c r="AH63" s="22">
        <f>Targets_UW[[#This Row],[AWA+Leeway]]-Targets_UW[[#This Row],[JibLead (deg)]]</f>
        <v>12.963436236671694</v>
      </c>
    </row>
    <row r="64" spans="1:34" x14ac:dyDescent="0.25">
      <c r="A64" s="20" t="s">
        <v>40</v>
      </c>
      <c r="B64" s="21" t="s">
        <v>33</v>
      </c>
      <c r="C64" s="21" t="s">
        <v>36</v>
      </c>
      <c r="D64" s="21">
        <v>24</v>
      </c>
      <c r="E64" s="21" t="str">
        <f t="shared" si="6"/>
        <v>H1-2B_HSB2_LARW2-24m</v>
      </c>
      <c r="F64" s="21">
        <v>12</v>
      </c>
      <c r="G64" s="22">
        <f>ABS(Targets_UW[[#This Row],[BSP (km/h)]]*COS(RADIANS(Targets_UW[[#This Row],[TWA (deg)]]+Targets_UW[[#This Row],[LEEWAY (deg)]])))</f>
        <v>11.004221554899816</v>
      </c>
      <c r="H64" s="22">
        <v>18.5</v>
      </c>
      <c r="I64" s="22">
        <v>49</v>
      </c>
      <c r="J64" s="22">
        <v>4.5</v>
      </c>
      <c r="K64" s="22">
        <v>0</v>
      </c>
      <c r="L64" s="22">
        <v>-9</v>
      </c>
      <c r="M64" s="22">
        <f>Targets_UW[[#This Row],[CANT (deg)]]-Targets_UW[[#This Row],[HEEL (deg)]]</f>
        <v>9</v>
      </c>
      <c r="N64" s="22"/>
      <c r="O64" s="22">
        <v>0</v>
      </c>
      <c r="P64" s="22">
        <v>3.3</v>
      </c>
      <c r="Q64" s="22">
        <v>-0.5</v>
      </c>
      <c r="R64" s="22">
        <v>-30</v>
      </c>
      <c r="S64" s="22">
        <f>Targets_UW[[#This Row],[CLEW (deg)]]-0.5*Targets_UW[[#This Row],[CA1 (deg)]]</f>
        <v>11</v>
      </c>
      <c r="T64" s="22">
        <v>-4</v>
      </c>
      <c r="U64" s="22">
        <v>7.3</v>
      </c>
      <c r="V64" s="22">
        <v>130</v>
      </c>
      <c r="W64" s="22">
        <v>7.6</v>
      </c>
      <c r="X64" s="22">
        <v>400</v>
      </c>
      <c r="Y64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27.392541271623479</v>
      </c>
      <c r="Z64" s="22">
        <f>DEGREES(ASIN(Targets_UW[[#This Row],[TWS (km/h)]]*SIN(RADIANS(Targets_UW[[#This Row],[TWA (deg)]]+Targets_UW[[#This Row],[LEEWAY (deg)]]))/Targets_UW[[#This Row],[AWS]]))</f>
        <v>20.618872813509757</v>
      </c>
      <c r="AA64" s="22">
        <f>Targets_UW[[#This Row],[AWA+Leeway]]-Targets_UW[[#This Row],[ROT (deg)]]</f>
        <v>9.618872813509757</v>
      </c>
      <c r="AB64" s="22">
        <f>Targets_UW[[#This Row],[TWS (km/h)]]*(Targets_UW[[#This Row],[Wing]]/10)^0.1</f>
        <v>13.097921107414763</v>
      </c>
      <c r="AC64" s="22">
        <f>SQRT(Targets_UW[[#This Row],[TWSTop]]^2+Targets_UW[[#This Row],[BSP (km/h)]]^2+2*Targets_UW[[#This Row],[BSP (km/h)]]*Targets_UW[[#This Row],[TWSTop]]*COS(RADIANS(Targets_UW[[#This Row],[TWA (deg)]]+Targets_UW[[#This Row],[LEEWAY (deg)]])))</f>
        <v>28.32084724871844</v>
      </c>
      <c r="AD64" s="22">
        <f>DEGREES(ASIN(Targets_UW[[#This Row],[TWSTop]]*SIN(RADIANS(Targets_UW[[#This Row],[TWA (deg)]]+Targets_UW[[#This Row],[LEEWAY (deg)]]))/Targets_UW[[#This Row],[AWSTop]]))</f>
        <v>21.824846187783407</v>
      </c>
      <c r="AE64" s="22">
        <f>Targets_UW[[#This Row],[AWA+Leeway Top]]-Targets_UW[[#This Row],[ROT (deg)]]</f>
        <v>10.824846187783407</v>
      </c>
      <c r="AF64" s="22">
        <f>Targets_UW[[#This Row],[CLEW (deg)]]+Targets_UW[[#This Row],[TWIST (deg)]]</f>
        <v>3.3</v>
      </c>
      <c r="AG64" s="23">
        <f>Targets_UW[[#This Row],[AWA+Leeway Top]]-Targets_UW[[#This Row],[CA6]]</f>
        <v>18.524846187783407</v>
      </c>
      <c r="AH64" s="22">
        <f>Targets_UW[[#This Row],[AWA+Leeway]]-Targets_UW[[#This Row],[JibLead (deg)]]</f>
        <v>13.018872813509757</v>
      </c>
    </row>
    <row r="65" spans="1:34" x14ac:dyDescent="0.25">
      <c r="A65" s="20" t="s">
        <v>40</v>
      </c>
      <c r="B65" s="21" t="s">
        <v>33</v>
      </c>
      <c r="C65" s="21" t="s">
        <v>36</v>
      </c>
      <c r="D65" s="21">
        <v>24</v>
      </c>
      <c r="E65" s="21" t="str">
        <f>A65 &amp; "_" &amp; B65 &amp; "_" &amp; C65 &amp; "-" &amp; D65 &amp; "m"</f>
        <v>H1-2B_HSB2_LARW2-24m</v>
      </c>
      <c r="F65" s="21">
        <v>13</v>
      </c>
      <c r="G65" s="22">
        <f>ABS(Targets_UW[[#This Row],[BSP (km/h)]]*COS(RADIANS(Targets_UW[[#This Row],[TWA (deg)]]+Targets_UW[[#This Row],[LEEWAY (deg)]])))</f>
        <v>11.870847865670052</v>
      </c>
      <c r="H65" s="22">
        <v>19.5</v>
      </c>
      <c r="I65" s="22">
        <v>48</v>
      </c>
      <c r="J65" s="22">
        <v>4.5</v>
      </c>
      <c r="K65" s="22">
        <v>0</v>
      </c>
      <c r="L65" s="22">
        <v>-9</v>
      </c>
      <c r="M65" s="22">
        <f>Targets_UW[[#This Row],[CANT (deg)]]-Targets_UW[[#This Row],[HEEL (deg)]]</f>
        <v>9</v>
      </c>
      <c r="N65" s="22"/>
      <c r="O65" s="22">
        <v>0</v>
      </c>
      <c r="P65" s="22">
        <v>3.3</v>
      </c>
      <c r="Q65" s="22">
        <v>-0.5</v>
      </c>
      <c r="R65" s="22">
        <v>-30</v>
      </c>
      <c r="S65" s="22">
        <f>Targets_UW[[#This Row],[CLEW (deg)]]-0.5*Targets_UW[[#This Row],[CA1 (deg)]]</f>
        <v>11</v>
      </c>
      <c r="T65" s="22">
        <v>-4</v>
      </c>
      <c r="U65" s="22">
        <v>7.3</v>
      </c>
      <c r="V65" s="22">
        <v>160</v>
      </c>
      <c r="W65" s="22">
        <v>7.6</v>
      </c>
      <c r="X65" s="22">
        <v>440</v>
      </c>
      <c r="Y65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29.289794203910368</v>
      </c>
      <c r="Z65" s="22">
        <f>DEGREES(ASIN(Targets_UW[[#This Row],[TWS (km/h)]]*SIN(RADIANS(Targets_UW[[#This Row],[TWA (deg)]]+Targets_UW[[#This Row],[LEEWAY (deg)]]))/Targets_UW[[#This Row],[AWS]]))</f>
        <v>20.617187304617246</v>
      </c>
      <c r="AA65" s="22">
        <f>Targets_UW[[#This Row],[AWA+Leeway]]-Targets_UW[[#This Row],[ROT (deg)]]</f>
        <v>9.6171873046172465</v>
      </c>
      <c r="AB65" s="22">
        <f>Targets_UW[[#This Row],[TWS (km/h)]]*(Targets_UW[[#This Row],[Wing]]/10)^0.1</f>
        <v>14.189414533032661</v>
      </c>
      <c r="AC65" s="22">
        <f>SQRT(Targets_UW[[#This Row],[TWSTop]]^2+Targets_UW[[#This Row],[BSP (km/h)]]^2+2*Targets_UW[[#This Row],[BSP (km/h)]]*Targets_UW[[#This Row],[TWSTop]]*COS(RADIANS(Targets_UW[[#This Row],[TWA (deg)]]+Targets_UW[[#This Row],[LEEWAY (deg)]])))</f>
        <v>30.306274057352468</v>
      </c>
      <c r="AD65" s="22">
        <f>DEGREES(ASIN(Targets_UW[[#This Row],[TWSTop]]*SIN(RADIANS(Targets_UW[[#This Row],[TWA (deg)]]+Targets_UW[[#This Row],[LEEWAY (deg)]]))/Targets_UW[[#This Row],[AWSTop]]))</f>
        <v>21.804976527950519</v>
      </c>
      <c r="AE65" s="22">
        <f>Targets_UW[[#This Row],[AWA+Leeway Top]]-Targets_UW[[#This Row],[ROT (deg)]]</f>
        <v>10.804976527950519</v>
      </c>
      <c r="AF65" s="22">
        <f>Targets_UW[[#This Row],[CLEW (deg)]]+Targets_UW[[#This Row],[TWIST (deg)]]</f>
        <v>3.3</v>
      </c>
      <c r="AG65" s="23">
        <f>Targets_UW[[#This Row],[AWA+Leeway Top]]-Targets_UW[[#This Row],[CA6]]</f>
        <v>18.504976527950518</v>
      </c>
      <c r="AH65" s="22">
        <f>Targets_UW[[#This Row],[AWA+Leeway]]-Targets_UW[[#This Row],[JibLead (deg)]]</f>
        <v>13.017187304617247</v>
      </c>
    </row>
    <row r="66" spans="1:34" x14ac:dyDescent="0.25">
      <c r="A66" s="24" t="s">
        <v>41</v>
      </c>
      <c r="B66" s="25" t="s">
        <v>33</v>
      </c>
      <c r="C66" s="25" t="s">
        <v>36</v>
      </c>
      <c r="D66" s="25">
        <v>24</v>
      </c>
      <c r="E66" s="25" t="str">
        <f t="shared" si="6"/>
        <v>H1_HSB2_LARW2-24m</v>
      </c>
      <c r="F66" s="25">
        <v>12</v>
      </c>
      <c r="G66" s="26">
        <f>ABS(Targets_UW[[#This Row],[BSP (km/h)]]*COS(RADIANS(Targets_UW[[#This Row],[TWA (deg)]]+Targets_UW[[#This Row],[LEEWAY (deg)]])))</f>
        <v>11.393264181013905</v>
      </c>
      <c r="H66" s="26">
        <v>21.5</v>
      </c>
      <c r="I66" s="26">
        <v>55</v>
      </c>
      <c r="J66" s="26">
        <v>3</v>
      </c>
      <c r="K66" s="26">
        <v>0</v>
      </c>
      <c r="L66" s="26">
        <v>-9</v>
      </c>
      <c r="M66" s="26">
        <f>Targets_UW[[#This Row],[CANT (deg)]]-Targets_UW[[#This Row],[HEEL (deg)]]</f>
        <v>9</v>
      </c>
      <c r="N66" s="26"/>
      <c r="O66" s="26">
        <v>0</v>
      </c>
      <c r="P66" s="26">
        <v>2.8</v>
      </c>
      <c r="Q66" s="26">
        <v>-0.8</v>
      </c>
      <c r="R66" s="26">
        <v>-28.5</v>
      </c>
      <c r="S66" s="26">
        <f>Targets_UW[[#This Row],[CLEW (deg)]]-0.5*Targets_UW[[#This Row],[CA1 (deg)]]</f>
        <v>10.25</v>
      </c>
      <c r="T66" s="26">
        <v>-4</v>
      </c>
      <c r="U66" s="26">
        <v>7</v>
      </c>
      <c r="V66" s="26">
        <v>160</v>
      </c>
      <c r="W66" s="26">
        <v>7.6</v>
      </c>
      <c r="X66" s="26">
        <v>450</v>
      </c>
      <c r="Y66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29.659540460774735</v>
      </c>
      <c r="Z66" s="26">
        <f>DEGREES(ASIN(Targets_UW[[#This Row],[TWS (km/h)]]*SIN(RADIANS(Targets_UW[[#This Row],[TWA (deg)]]+Targets_UW[[#This Row],[LEEWAY (deg)]]))/Targets_UW[[#This Row],[AWS]]))</f>
        <v>20.066655438782352</v>
      </c>
      <c r="AA66" s="26">
        <f>Targets_UW[[#This Row],[AWA+Leeway]]-Targets_UW[[#This Row],[ROT (deg)]]</f>
        <v>9.8166554387823517</v>
      </c>
      <c r="AB66" s="26">
        <f>Targets_UW[[#This Row],[TWS (km/h)]]*(Targets_UW[[#This Row],[Wing]]/10)^0.1</f>
        <v>13.097921107414763</v>
      </c>
      <c r="AC66" s="26">
        <f>SQRT(Targets_UW[[#This Row],[TWSTop]]^2+Targets_UW[[#This Row],[BSP (km/h)]]^2+2*Targets_UW[[#This Row],[BSP (km/h)]]*Targets_UW[[#This Row],[TWSTop]]*COS(RADIANS(Targets_UW[[#This Row],[TWA (deg)]]+Targets_UW[[#This Row],[LEEWAY (deg)]])))</f>
        <v>30.532960684050447</v>
      </c>
      <c r="AD66" s="26">
        <f>DEGREES(ASIN(Targets_UW[[#This Row],[TWSTop]]*SIN(RADIANS(Targets_UW[[#This Row],[TWA (deg)]]+Targets_UW[[#This Row],[LEEWAY (deg)]]))/Targets_UW[[#This Row],[AWSTop]]))</f>
        <v>21.333299961722172</v>
      </c>
      <c r="AE66" s="26">
        <f>Targets_UW[[#This Row],[AWA+Leeway Top]]-Targets_UW[[#This Row],[ROT (deg)]]</f>
        <v>11.083299961722172</v>
      </c>
      <c r="AF66" s="26">
        <f>Targets_UW[[#This Row],[CLEW (deg)]]+Targets_UW[[#This Row],[TWIST (deg)]]</f>
        <v>3</v>
      </c>
      <c r="AG66" s="27">
        <f>Targets_UW[[#This Row],[AWA+Leeway Top]]-Targets_UW[[#This Row],[CA6]]</f>
        <v>18.333299961722172</v>
      </c>
      <c r="AH66" s="26">
        <f>Targets_UW[[#This Row],[AWA+Leeway]]-Targets_UW[[#This Row],[JibLead (deg)]]</f>
        <v>12.466655438782352</v>
      </c>
    </row>
    <row r="67" spans="1:34" x14ac:dyDescent="0.25">
      <c r="A67" s="24" t="s">
        <v>41</v>
      </c>
      <c r="B67" s="25" t="s">
        <v>33</v>
      </c>
      <c r="C67" s="25" t="s">
        <v>36</v>
      </c>
      <c r="D67" s="25">
        <v>24</v>
      </c>
      <c r="E67" s="25" t="str">
        <f t="shared" si="6"/>
        <v>H1_HSB2_LARW2-24m</v>
      </c>
      <c r="F67" s="25">
        <v>13</v>
      </c>
      <c r="G67" s="26">
        <f>ABS(Targets_UW[[#This Row],[BSP (km/h)]]*COS(RADIANS(Targets_UW[[#This Row],[TWA (deg)]]+Targets_UW[[#This Row],[LEEWAY (deg)]])))</f>
        <v>12.861436779827176</v>
      </c>
      <c r="H67" s="26">
        <v>23</v>
      </c>
      <c r="I67" s="26">
        <v>53</v>
      </c>
      <c r="J67" s="26">
        <v>3</v>
      </c>
      <c r="K67" s="26">
        <v>2</v>
      </c>
      <c r="L67" s="26">
        <v>-9</v>
      </c>
      <c r="M67" s="26">
        <f>Targets_UW[[#This Row],[CANT (deg)]]-Targets_UW[[#This Row],[HEEL (deg)]]</f>
        <v>11</v>
      </c>
      <c r="N67" s="26"/>
      <c r="O67" s="26">
        <v>0</v>
      </c>
      <c r="P67" s="26">
        <v>2.8</v>
      </c>
      <c r="Q67" s="26">
        <v>-0.8</v>
      </c>
      <c r="R67" s="26">
        <v>-27.5</v>
      </c>
      <c r="S67" s="26">
        <f>Targets_UW[[#This Row],[CLEW (deg)]]-0.5*Targets_UW[[#This Row],[CA1 (deg)]]</f>
        <v>9.75</v>
      </c>
      <c r="T67" s="26">
        <v>-4</v>
      </c>
      <c r="U67" s="26">
        <v>10</v>
      </c>
      <c r="V67" s="26">
        <v>180</v>
      </c>
      <c r="W67" s="26">
        <v>7.1</v>
      </c>
      <c r="X67" s="26">
        <v>550</v>
      </c>
      <c r="Y67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32.130940793501622</v>
      </c>
      <c r="Z67" s="26">
        <f>DEGREES(ASIN(Targets_UW[[#This Row],[TWS (km/h)]]*SIN(RADIANS(Targets_UW[[#This Row],[TWA (deg)]]+Targets_UW[[#This Row],[LEEWAY (deg)]]))/Targets_UW[[#This Row],[AWS]]))</f>
        <v>19.598322763923441</v>
      </c>
      <c r="AA67" s="26">
        <f>Targets_UW[[#This Row],[AWA+Leeway]]-Targets_UW[[#This Row],[ROT (deg)]]</f>
        <v>9.8483227639234414</v>
      </c>
      <c r="AB67" s="26">
        <f>Targets_UW[[#This Row],[TWS (km/h)]]*(Targets_UW[[#This Row],[Wing]]/10)^0.1</f>
        <v>14.189414533032661</v>
      </c>
      <c r="AC67" s="26">
        <f>SQRT(Targets_UW[[#This Row],[TWSTop]]^2+Targets_UW[[#This Row],[BSP (km/h)]]^2+2*Targets_UW[[#This Row],[BSP (km/h)]]*Targets_UW[[#This Row],[TWSTop]]*COS(RADIANS(Targets_UW[[#This Row],[TWA (deg)]]+Targets_UW[[#This Row],[LEEWAY (deg)]])))</f>
        <v>33.095800348517926</v>
      </c>
      <c r="AD67" s="26">
        <f>DEGREES(ASIN(Targets_UW[[#This Row],[TWSTop]]*SIN(RADIANS(Targets_UW[[#This Row],[TWA (deg)]]+Targets_UW[[#This Row],[LEEWAY (deg)]]))/Targets_UW[[#This Row],[AWSTop]]))</f>
        <v>20.820388371918956</v>
      </c>
      <c r="AE67" s="26">
        <f>Targets_UW[[#This Row],[AWA+Leeway Top]]-Targets_UW[[#This Row],[ROT (deg)]]</f>
        <v>11.070388371918956</v>
      </c>
      <c r="AF67" s="26">
        <f>Targets_UW[[#This Row],[CLEW (deg)]]+Targets_UW[[#This Row],[TWIST (deg)]]</f>
        <v>6</v>
      </c>
      <c r="AG67" s="27">
        <f>Targets_UW[[#This Row],[AWA+Leeway Top]]-Targets_UW[[#This Row],[CA6]]</f>
        <v>14.820388371918956</v>
      </c>
      <c r="AH67" s="26">
        <f>Targets_UW[[#This Row],[AWA+Leeway]]-Targets_UW[[#This Row],[JibLead (deg)]]</f>
        <v>12.498322763923442</v>
      </c>
    </row>
    <row r="68" spans="1:34" ht="15.75" thickBot="1" x14ac:dyDescent="0.3">
      <c r="A68" s="28" t="s">
        <v>41</v>
      </c>
      <c r="B68" s="29" t="s">
        <v>33</v>
      </c>
      <c r="C68" s="29" t="s">
        <v>36</v>
      </c>
      <c r="D68" s="29">
        <v>24</v>
      </c>
      <c r="E68" s="29" t="str">
        <f t="shared" si="6"/>
        <v>H1_HSB2_LARW2-24m</v>
      </c>
      <c r="F68" s="29">
        <v>14</v>
      </c>
      <c r="G68" s="30">
        <f>ABS(Targets_UW[[#This Row],[BSP (km/h)]]*COS(RADIANS(Targets_UW[[#This Row],[TWA (deg)]]+Targets_UW[[#This Row],[LEEWAY (deg)]])))</f>
        <v>15.04537557880121</v>
      </c>
      <c r="H68" s="30">
        <v>25</v>
      </c>
      <c r="I68" s="30">
        <v>50</v>
      </c>
      <c r="J68" s="30">
        <v>3</v>
      </c>
      <c r="K68" s="30">
        <v>4</v>
      </c>
      <c r="L68" s="30">
        <v>-9</v>
      </c>
      <c r="M68" s="30">
        <f>Targets_UW[[#This Row],[CANT (deg)]]-Targets_UW[[#This Row],[HEEL (deg)]]</f>
        <v>13</v>
      </c>
      <c r="N68" s="30"/>
      <c r="O68" s="30">
        <v>0</v>
      </c>
      <c r="P68" s="30">
        <v>2.8</v>
      </c>
      <c r="Q68" s="30">
        <v>-0.8</v>
      </c>
      <c r="R68" s="30">
        <v>-25</v>
      </c>
      <c r="S68" s="30">
        <f>Targets_UW[[#This Row],[CLEW (deg)]]-0.5*Targets_UW[[#This Row],[CA1 (deg)]]</f>
        <v>8.5</v>
      </c>
      <c r="T68" s="30">
        <v>-4</v>
      </c>
      <c r="U68" s="30">
        <v>15</v>
      </c>
      <c r="V68" s="30">
        <v>200</v>
      </c>
      <c r="W68" s="30">
        <v>6.5</v>
      </c>
      <c r="X68" s="30">
        <v>600</v>
      </c>
      <c r="Y68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35.245858142573773</v>
      </c>
      <c r="Z68" s="30">
        <f>DEGREES(ASIN(Targets_UW[[#This Row],[TWS (km/h)]]*SIN(RADIANS(Targets_UW[[#This Row],[TWA (deg)]]+Targets_UW[[#This Row],[LEEWAY (deg)]]))/Targets_UW[[#This Row],[AWS]]))</f>
        <v>18.495238456771052</v>
      </c>
      <c r="AA68" s="30">
        <f>Targets_UW[[#This Row],[AWA+Leeway]]-Targets_UW[[#This Row],[ROT (deg)]]</f>
        <v>9.9952384567710517</v>
      </c>
      <c r="AB68" s="30">
        <f>Targets_UW[[#This Row],[TWS (km/h)]]*(Targets_UW[[#This Row],[Wing]]/10)^0.1</f>
        <v>15.280907958650557</v>
      </c>
      <c r="AC68" s="30">
        <f>SQRT(Targets_UW[[#This Row],[TWSTop]]^2+Targets_UW[[#This Row],[BSP (km/h)]]^2+2*Targets_UW[[#This Row],[BSP (km/h)]]*Targets_UW[[#This Row],[TWSTop]]*COS(RADIANS(Targets_UW[[#This Row],[TWA (deg)]]+Targets_UW[[#This Row],[LEEWAY (deg)]])))</f>
        <v>36.308678671727101</v>
      </c>
      <c r="AD68" s="30">
        <f>DEGREES(ASIN(Targets_UW[[#This Row],[TWSTop]]*SIN(RADIANS(Targets_UW[[#This Row],[TWA (deg)]]+Targets_UW[[#This Row],[LEEWAY (deg)]]))/Targets_UW[[#This Row],[AWSTop]]))</f>
        <v>19.640328292632514</v>
      </c>
      <c r="AE68" s="30">
        <f>Targets_UW[[#This Row],[AWA+Leeway Top]]-Targets_UW[[#This Row],[ROT (deg)]]</f>
        <v>11.140328292632514</v>
      </c>
      <c r="AF68" s="30">
        <f>Targets_UW[[#This Row],[CLEW (deg)]]+Targets_UW[[#This Row],[TWIST (deg)]]</f>
        <v>11</v>
      </c>
      <c r="AG68" s="31">
        <f>Targets_UW[[#This Row],[AWA+Leeway Top]]-Targets_UW[[#This Row],[CA6]]</f>
        <v>8.640328292632514</v>
      </c>
      <c r="AH68" s="26">
        <f>Targets_UW[[#This Row],[AWA+Leeway]]-Targets_UW[[#This Row],[JibLead (deg)]]</f>
        <v>11.995238456771052</v>
      </c>
    </row>
    <row r="69" spans="1:34" x14ac:dyDescent="0.25">
      <c r="A69" s="12" t="s">
        <v>38</v>
      </c>
      <c r="B69" s="13" t="s">
        <v>37</v>
      </c>
      <c r="C69" s="13" t="s">
        <v>36</v>
      </c>
      <c r="D69" s="13">
        <v>24</v>
      </c>
      <c r="E69" s="13" t="str">
        <f t="shared" si="6"/>
        <v>H2_LAB2_LARW2-24m</v>
      </c>
      <c r="F69" s="13">
        <v>8</v>
      </c>
      <c r="G69" s="14">
        <f>ABS(Targets_UW[[#This Row],[BSP (km/h)]]*COS(RADIANS(Targets_UW[[#This Row],[TWA (deg)]]+Targets_UW[[#This Row],[LEEWAY (deg)]])))</f>
        <v>7.5491384242422175</v>
      </c>
      <c r="H69" s="14">
        <v>13</v>
      </c>
      <c r="I69" s="14">
        <v>51</v>
      </c>
      <c r="J69" s="14">
        <v>3.5</v>
      </c>
      <c r="K69" s="14">
        <v>3</v>
      </c>
      <c r="L69" s="14">
        <v>-1</v>
      </c>
      <c r="M69" s="14">
        <f>Targets_UW[[#This Row],[CANT (deg)]]-Targets_UW[[#This Row],[HEEL (deg)]]</f>
        <v>4</v>
      </c>
      <c r="N69" s="14"/>
      <c r="O69" s="14">
        <v>0</v>
      </c>
      <c r="P69" s="14">
        <v>2.7</v>
      </c>
      <c r="Q69" s="14">
        <v>-0.1</v>
      </c>
      <c r="R69" s="14">
        <v>-30</v>
      </c>
      <c r="S69" s="14">
        <f>Targets_UW[[#This Row],[CLEW (deg)]]-0.5*Targets_UW[[#This Row],[CA1 (deg)]]</f>
        <v>15</v>
      </c>
      <c r="T69" s="14">
        <v>0</v>
      </c>
      <c r="U69" s="14">
        <v>6.5</v>
      </c>
      <c r="V69" s="14">
        <v>60</v>
      </c>
      <c r="W69" s="14">
        <v>7.6</v>
      </c>
      <c r="X69" s="14">
        <v>150</v>
      </c>
      <c r="Y69" s="14">
        <f>SQRT(Targets_UW[[#This Row],[TWS (km/h)]]^2+Targets_UW[[#This Row],[BSP (km/h)]]^2+2*Targets_UW[[#This Row],[TWS (km/h)]]*Targets_UW[[#This Row],[BSP (km/h)]]*COS(RADIANS(Targets_UW[[#This Row],[TWA (deg)]]+Targets_UW[[#This Row],[LEEWAY (deg)]])))</f>
        <v>18.809205586304689</v>
      </c>
      <c r="Z69" s="14">
        <f>DEGREES(ASIN(Targets_UW[[#This Row],[TWS (km/h)]]*SIN(RADIANS(Targets_UW[[#This Row],[TWA (deg)]]+Targets_UW[[#This Row],[LEEWAY (deg)]]))/Targets_UW[[#This Row],[AWS]]))</f>
        <v>20.258887707897603</v>
      </c>
      <c r="AA69" s="14">
        <f>Targets_UW[[#This Row],[AWA+Leeway]]-Targets_UW[[#This Row],[ROT (deg)]]</f>
        <v>5.2588877078976033</v>
      </c>
      <c r="AB69" s="14">
        <f>Targets_UW[[#This Row],[TWS (km/h)]]*(Targets_UW[[#This Row],[Wing]]/10)^0.1</f>
        <v>8.7319474049431758</v>
      </c>
      <c r="AC69" s="14">
        <f>SQRT(Targets_UW[[#This Row],[TWSTop]]^2+Targets_UW[[#This Row],[BSP (km/h)]]^2+2*Targets_UW[[#This Row],[BSP (km/h)]]*Targets_UW[[#This Row],[TWSTop]]*COS(RADIANS(Targets_UW[[#This Row],[TWA (deg)]]+Targets_UW[[#This Row],[LEEWAY (deg)]])))</f>
        <v>19.418657647451617</v>
      </c>
      <c r="AD69" s="14">
        <f>DEGREES(ASIN(Targets_UW[[#This Row],[TWSTop]]*SIN(RADIANS(Targets_UW[[#This Row],[TWA (deg)]]+Targets_UW[[#This Row],[LEEWAY (deg)]]))/Targets_UW[[#This Row],[AWSTop]]))</f>
        <v>21.474163366328874</v>
      </c>
      <c r="AE69" s="14">
        <f>Targets_UW[[#This Row],[AWA+Leeway Top]]-Targets_UW[[#This Row],[ROT (deg)]]</f>
        <v>6.4741633663288738</v>
      </c>
      <c r="AF69" s="14">
        <f>Targets_UW[[#This Row],[CLEW (deg)]]+Targets_UW[[#This Row],[TWIST (deg)]]</f>
        <v>6.5</v>
      </c>
      <c r="AG69" s="15">
        <f>Targets_UW[[#This Row],[AWA+Leeway Top]]-Targets_UW[[#This Row],[CA6]]</f>
        <v>14.974163366328874</v>
      </c>
      <c r="AH69" s="16">
        <f>Targets_UW[[#This Row],[AWA+Leeway]]-Targets_UW[[#This Row],[JibLead (deg)]]</f>
        <v>12.658887707897604</v>
      </c>
    </row>
    <row r="70" spans="1:34" x14ac:dyDescent="0.25">
      <c r="A70" s="17" t="s">
        <v>38</v>
      </c>
      <c r="B70" s="18" t="s">
        <v>37</v>
      </c>
      <c r="C70" s="18" t="s">
        <v>36</v>
      </c>
      <c r="D70" s="18">
        <v>24</v>
      </c>
      <c r="E70" s="18" t="str">
        <f t="shared" si="6"/>
        <v>H2_LAB2_LARW2-24m</v>
      </c>
      <c r="F70" s="18">
        <v>10</v>
      </c>
      <c r="G70" s="16">
        <f>ABS(Targets_UW[[#This Row],[BSP (km/h)]]*COS(RADIANS(Targets_UW[[#This Row],[TWA (deg)]]+Targets_UW[[#This Row],[LEEWAY (deg)]])))</f>
        <v>9.0264622312454836</v>
      </c>
      <c r="H70" s="16">
        <v>14.5</v>
      </c>
      <c r="I70" s="16">
        <v>48</v>
      </c>
      <c r="J70" s="16">
        <v>3.5</v>
      </c>
      <c r="K70" s="16">
        <v>1.5</v>
      </c>
      <c r="L70" s="16">
        <v>-2.5</v>
      </c>
      <c r="M70" s="16">
        <f>Targets_UW[[#This Row],[CANT (deg)]]-Targets_UW[[#This Row],[HEEL (deg)]]</f>
        <v>4</v>
      </c>
      <c r="N70" s="16"/>
      <c r="O70" s="16">
        <v>0</v>
      </c>
      <c r="P70" s="16">
        <v>2.7</v>
      </c>
      <c r="Q70" s="16">
        <v>-0.1</v>
      </c>
      <c r="R70" s="16">
        <v>-30</v>
      </c>
      <c r="S70" s="16">
        <f>Targets_UW[[#This Row],[CLEW (deg)]]-0.5*Targets_UW[[#This Row],[CA1 (deg)]]</f>
        <v>15</v>
      </c>
      <c r="T70" s="16">
        <v>0</v>
      </c>
      <c r="U70" s="16">
        <v>6.9</v>
      </c>
      <c r="V70" s="16">
        <v>90</v>
      </c>
      <c r="W70" s="16">
        <v>8</v>
      </c>
      <c r="X70" s="16">
        <v>270</v>
      </c>
      <c r="Y70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22.153537970827813</v>
      </c>
      <c r="Z70" s="16">
        <f>DEGREES(ASIN(Targets_UW[[#This Row],[TWS (km/h)]]*SIN(RADIANS(Targets_UW[[#This Row],[TWA (deg)]]+Targets_UW[[#This Row],[LEEWAY (deg)]]))/Targets_UW[[#This Row],[AWS]]))</f>
        <v>20.687180762427435</v>
      </c>
      <c r="AA70" s="16">
        <f>Targets_UW[[#This Row],[AWA+Leeway]]-Targets_UW[[#This Row],[ROT (deg)]]</f>
        <v>5.6871807624274346</v>
      </c>
      <c r="AB70" s="16">
        <f>Targets_UW[[#This Row],[TWS (km/h)]]*(Targets_UW[[#This Row],[Wing]]/10)^0.1</f>
        <v>10.91493425617897</v>
      </c>
      <c r="AC70" s="16">
        <f>SQRT(Targets_UW[[#This Row],[TWSTop]]^2+Targets_UW[[#This Row],[BSP (km/h)]]^2+2*Targets_UW[[#This Row],[BSP (km/h)]]*Targets_UW[[#This Row],[TWSTop]]*COS(RADIANS(Targets_UW[[#This Row],[TWA (deg)]]+Targets_UW[[#This Row],[LEEWAY (deg)]])))</f>
        <v>22.944111956154746</v>
      </c>
      <c r="AD70" s="16">
        <f>DEGREES(ASIN(Targets_UW[[#This Row],[TWSTop]]*SIN(RADIANS(Targets_UW[[#This Row],[TWA (deg)]]+Targets_UW[[#This Row],[LEEWAY (deg)]]))/Targets_UW[[#This Row],[AWSTop]]))</f>
        <v>21.857598111774408</v>
      </c>
      <c r="AE70" s="16">
        <f>Targets_UW[[#This Row],[AWA+Leeway Top]]-Targets_UW[[#This Row],[ROT (deg)]]</f>
        <v>6.8575981117744078</v>
      </c>
      <c r="AF70" s="16">
        <f>Targets_UW[[#This Row],[CLEW (deg)]]+Targets_UW[[#This Row],[TWIST (deg)]]</f>
        <v>6.9</v>
      </c>
      <c r="AG70" s="19">
        <f>Targets_UW[[#This Row],[AWA+Leeway Top]]-Targets_UW[[#This Row],[CA6]]</f>
        <v>14.957598111774407</v>
      </c>
      <c r="AH70" s="16">
        <f>Targets_UW[[#This Row],[AWA+Leeway]]-Targets_UW[[#This Row],[JibLead (deg)]]</f>
        <v>12.687180762427435</v>
      </c>
    </row>
    <row r="71" spans="1:34" x14ac:dyDescent="0.25">
      <c r="A71" s="17" t="s">
        <v>38</v>
      </c>
      <c r="B71" s="18" t="s">
        <v>37</v>
      </c>
      <c r="C71" s="18" t="s">
        <v>36</v>
      </c>
      <c r="D71" s="18">
        <v>24</v>
      </c>
      <c r="E71" s="18" t="str">
        <f t="shared" si="6"/>
        <v>H2_LAB2_LARW2-24m</v>
      </c>
      <c r="F71" s="18">
        <v>12</v>
      </c>
      <c r="G71" s="16">
        <f>ABS(Targets_UW[[#This Row],[BSP (km/h)]]*COS(RADIANS(Targets_UW[[#This Row],[TWA (deg)]]+Targets_UW[[#This Row],[LEEWAY (deg)]])))</f>
        <v>10.582748822839532</v>
      </c>
      <c r="H71" s="16">
        <v>17</v>
      </c>
      <c r="I71" s="16">
        <v>48</v>
      </c>
      <c r="J71" s="16">
        <v>3.5</v>
      </c>
      <c r="K71" s="16">
        <v>1</v>
      </c>
      <c r="L71" s="16">
        <v>-3</v>
      </c>
      <c r="M71" s="16">
        <f>Targets_UW[[#This Row],[CANT (deg)]]-Targets_UW[[#This Row],[HEEL (deg)]]</f>
        <v>4</v>
      </c>
      <c r="N71" s="16"/>
      <c r="O71" s="16">
        <v>0</v>
      </c>
      <c r="P71" s="16">
        <v>2.7</v>
      </c>
      <c r="Q71" s="16">
        <v>-0.1</v>
      </c>
      <c r="R71" s="16">
        <v>-30</v>
      </c>
      <c r="S71" s="16">
        <f>Targets_UW[[#This Row],[CLEW (deg)]]-0.5*Targets_UW[[#This Row],[CA1 (deg)]]</f>
        <v>15</v>
      </c>
      <c r="T71" s="16">
        <v>0</v>
      </c>
      <c r="U71" s="16">
        <v>7.2</v>
      </c>
      <c r="V71" s="16">
        <v>125</v>
      </c>
      <c r="W71" s="16">
        <v>8.3000000000000007</v>
      </c>
      <c r="X71" s="16">
        <v>375</v>
      </c>
      <c r="Y71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26.210417237200723</v>
      </c>
      <c r="Z71" s="16">
        <f>DEGREES(ASIN(Targets_UW[[#This Row],[TWS (km/h)]]*SIN(RADIANS(Targets_UW[[#This Row],[TWA (deg)]]+Targets_UW[[#This Row],[LEEWAY (deg)]]))/Targets_UW[[#This Row],[AWS]]))</f>
        <v>20.996076609365943</v>
      </c>
      <c r="AA71" s="16">
        <f>Targets_UW[[#This Row],[AWA+Leeway]]-Targets_UW[[#This Row],[ROT (deg)]]</f>
        <v>5.996076609365943</v>
      </c>
      <c r="AB71" s="16">
        <f>Targets_UW[[#This Row],[TWS (km/h)]]*(Targets_UW[[#This Row],[Wing]]/10)^0.1</f>
        <v>13.097921107414763</v>
      </c>
      <c r="AC71" s="16">
        <f>SQRT(Targets_UW[[#This Row],[TWSTop]]^2+Targets_UW[[#This Row],[BSP (km/h)]]^2+2*Targets_UW[[#This Row],[BSP (km/h)]]*Targets_UW[[#This Row],[TWSTop]]*COS(RADIANS(Targets_UW[[#This Row],[TWA (deg)]]+Targets_UW[[#This Row],[LEEWAY (deg)]])))</f>
        <v>27.162097777939366</v>
      </c>
      <c r="AD71" s="16">
        <f>DEGREES(ASIN(Targets_UW[[#This Row],[TWSTop]]*SIN(RADIANS(Targets_UW[[#This Row],[TWA (deg)]]+Targets_UW[[#This Row],[LEEWAY (deg)]]))/Targets_UW[[#This Row],[AWSTop]]))</f>
        <v>22.171732681757568</v>
      </c>
      <c r="AE71" s="16">
        <f>Targets_UW[[#This Row],[AWA+Leeway Top]]-Targets_UW[[#This Row],[ROT (deg)]]</f>
        <v>7.1717326817575682</v>
      </c>
      <c r="AF71" s="16">
        <f>Targets_UW[[#This Row],[CLEW (deg)]]+Targets_UW[[#This Row],[TWIST (deg)]]</f>
        <v>7.2</v>
      </c>
      <c r="AG71" s="19">
        <f>Targets_UW[[#This Row],[AWA+Leeway Top]]-Targets_UW[[#This Row],[CA6]]</f>
        <v>14.971732681757569</v>
      </c>
      <c r="AH71" s="16">
        <f>Targets_UW[[#This Row],[AWA+Leeway]]-Targets_UW[[#This Row],[JibLead (deg)]]</f>
        <v>12.696076609365942</v>
      </c>
    </row>
    <row r="72" spans="1:34" x14ac:dyDescent="0.25">
      <c r="A72" s="17" t="s">
        <v>38</v>
      </c>
      <c r="B72" s="18" t="s">
        <v>37</v>
      </c>
      <c r="C72" s="18" t="s">
        <v>36</v>
      </c>
      <c r="D72" s="18">
        <v>24</v>
      </c>
      <c r="E72" s="18" t="str">
        <f t="shared" si="6"/>
        <v>H2_LAB2_LARW2-24m</v>
      </c>
      <c r="F72" s="18">
        <v>14</v>
      </c>
      <c r="G72" s="16">
        <f>ABS(Targets_UW[[#This Row],[BSP (km/h)]]*COS(RADIANS(Targets_UW[[#This Row],[TWA (deg)]]+Targets_UW[[#This Row],[LEEWAY (deg)]])))</f>
        <v>11.827778096114772</v>
      </c>
      <c r="H72" s="16">
        <v>19</v>
      </c>
      <c r="I72" s="16">
        <v>48</v>
      </c>
      <c r="J72" s="16">
        <v>3.5</v>
      </c>
      <c r="K72" s="16">
        <v>0.5</v>
      </c>
      <c r="L72" s="16">
        <v>-3.5</v>
      </c>
      <c r="M72" s="16">
        <f>Targets_UW[[#This Row],[CANT (deg)]]-Targets_UW[[#This Row],[HEEL (deg)]]</f>
        <v>4</v>
      </c>
      <c r="N72" s="16"/>
      <c r="O72" s="16">
        <v>0</v>
      </c>
      <c r="P72" s="16">
        <v>2.7</v>
      </c>
      <c r="Q72" s="16">
        <v>-0.1</v>
      </c>
      <c r="R72" s="16">
        <v>-30</v>
      </c>
      <c r="S72" s="16">
        <f>Targets_UW[[#This Row],[CLEW (deg)]]-0.5*Targets_UW[[#This Row],[CA1 (deg)]]</f>
        <v>15</v>
      </c>
      <c r="T72" s="16">
        <v>0</v>
      </c>
      <c r="U72" s="16">
        <v>7.8</v>
      </c>
      <c r="V72" s="16">
        <v>160</v>
      </c>
      <c r="W72" s="16">
        <v>8.9</v>
      </c>
      <c r="X72" s="16">
        <v>460</v>
      </c>
      <c r="Y72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29.802311767566181</v>
      </c>
      <c r="Z72" s="16">
        <f>DEGREES(ASIN(Targets_UW[[#This Row],[TWS (km/h)]]*SIN(RADIANS(Targets_UW[[#This Row],[TWA (deg)]]+Targets_UW[[#This Row],[LEEWAY (deg)]]))/Targets_UW[[#This Row],[AWS]]))</f>
        <v>21.570127480511314</v>
      </c>
      <c r="AA72" s="16">
        <f>Targets_UW[[#This Row],[AWA+Leeway]]-Targets_UW[[#This Row],[ROT (deg)]]</f>
        <v>6.5701274805113137</v>
      </c>
      <c r="AB72" s="16">
        <f>Targets_UW[[#This Row],[TWS (km/h)]]*(Targets_UW[[#This Row],[Wing]]/10)^0.1</f>
        <v>15.280907958650557</v>
      </c>
      <c r="AC72" s="16">
        <f>SQRT(Targets_UW[[#This Row],[TWSTop]]^2+Targets_UW[[#This Row],[BSP (km/h)]]^2+2*Targets_UW[[#This Row],[BSP (km/h)]]*Targets_UW[[#This Row],[TWSTop]]*COS(RADIANS(Targets_UW[[#This Row],[TWA (deg)]]+Targets_UW[[#This Row],[LEEWAY (deg)]])))</f>
        <v>30.918999416619158</v>
      </c>
      <c r="AD72" s="16">
        <f>DEGREES(ASIN(Targets_UW[[#This Row],[TWSTop]]*SIN(RADIANS(Targets_UW[[#This Row],[TWA (deg)]]+Targets_UW[[#This Row],[LEEWAY (deg)]]))/Targets_UW[[#This Row],[AWSTop]]))</f>
        <v>22.754515683409604</v>
      </c>
      <c r="AE72" s="16">
        <f>Targets_UW[[#This Row],[AWA+Leeway Top]]-Targets_UW[[#This Row],[ROT (deg)]]</f>
        <v>7.7545156834096041</v>
      </c>
      <c r="AF72" s="16">
        <f>Targets_UW[[#This Row],[CLEW (deg)]]+Targets_UW[[#This Row],[TWIST (deg)]]</f>
        <v>7.8</v>
      </c>
      <c r="AG72" s="19">
        <f>Targets_UW[[#This Row],[AWA+Leeway Top]]-Targets_UW[[#This Row],[CA6]]</f>
        <v>14.954515683409603</v>
      </c>
      <c r="AH72" s="16">
        <f>Targets_UW[[#This Row],[AWA+Leeway]]-Targets_UW[[#This Row],[JibLead (deg)]]</f>
        <v>12.670127480511313</v>
      </c>
    </row>
    <row r="73" spans="1:34" x14ac:dyDescent="0.25">
      <c r="A73" s="20" t="s">
        <v>40</v>
      </c>
      <c r="B73" s="21" t="s">
        <v>37</v>
      </c>
      <c r="C73" s="21" t="s">
        <v>36</v>
      </c>
      <c r="D73" s="21">
        <v>24</v>
      </c>
      <c r="E73" s="21" t="str">
        <f t="shared" ref="E73:E92" si="7">A73 &amp; "_" &amp; B73 &amp; "_" &amp; C73 &amp; "-" &amp; D73 &amp; "m"</f>
        <v>H1-2B_LAB2_LARW2-24m</v>
      </c>
      <c r="F73" s="21">
        <v>10</v>
      </c>
      <c r="G73" s="22">
        <f>ABS(Targets_UW[[#This Row],[BSP (km/h)]]*COS(RADIANS(Targets_UW[[#This Row],[TWA (deg)]]+Targets_UW[[#This Row],[LEEWAY (deg)]])))</f>
        <v>7.8497264249955752</v>
      </c>
      <c r="H73" s="22">
        <v>17</v>
      </c>
      <c r="I73" s="22">
        <v>58</v>
      </c>
      <c r="J73" s="22">
        <v>4.5</v>
      </c>
      <c r="K73" s="22">
        <v>0</v>
      </c>
      <c r="L73" s="22">
        <v>-9</v>
      </c>
      <c r="M73" s="22">
        <f>Targets_UW[[#This Row],[CANT (deg)]]-Targets_UW[[#This Row],[HEEL (deg)]]</f>
        <v>9</v>
      </c>
      <c r="N73" s="22"/>
      <c r="O73" s="22">
        <v>0</v>
      </c>
      <c r="P73" s="22">
        <v>3.3</v>
      </c>
      <c r="Q73" s="22">
        <v>-0.5</v>
      </c>
      <c r="R73" s="22">
        <v>-32</v>
      </c>
      <c r="S73" s="22">
        <f>Targets_UW[[#This Row],[CLEW (deg)]]-0.5*Targets_UW[[#This Row],[CA1 (deg)]]</f>
        <v>12</v>
      </c>
      <c r="T73" s="22">
        <v>-4</v>
      </c>
      <c r="U73" s="22">
        <v>9.1999999999999993</v>
      </c>
      <c r="V73" s="22">
        <v>100</v>
      </c>
      <c r="W73" s="22">
        <v>9.3000000000000007</v>
      </c>
      <c r="X73" s="22">
        <v>320</v>
      </c>
      <c r="Y73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23.366525811508897</v>
      </c>
      <c r="Z73" s="22">
        <f>DEGREES(ASIN(Targets_UW[[#This Row],[TWS (km/h)]]*SIN(RADIANS(Targets_UW[[#This Row],[TWA (deg)]]+Targets_UW[[#This Row],[LEEWAY (deg)]]))/Targets_UW[[#This Row],[AWS]]))</f>
        <v>22.309372122324245</v>
      </c>
      <c r="AA73" s="22">
        <f>Targets_UW[[#This Row],[AWA+Leeway]]-Targets_UW[[#This Row],[ROT (deg)]]</f>
        <v>10.309372122324245</v>
      </c>
      <c r="AB73" s="22">
        <f>Targets_UW[[#This Row],[TWS (km/h)]]*(Targets_UW[[#This Row],[Wing]]/10)^0.1</f>
        <v>10.91493425617897</v>
      </c>
      <c r="AC73" s="22">
        <f>SQRT(Targets_UW[[#This Row],[TWSTop]]^2+Targets_UW[[#This Row],[BSP (km/h)]]^2+2*Targets_UW[[#This Row],[BSP (km/h)]]*Targets_UW[[#This Row],[TWSTop]]*COS(RADIANS(Targets_UW[[#This Row],[TWA (deg)]]+Targets_UW[[#This Row],[LEEWAY (deg)]])))</f>
        <v>24.072687542780599</v>
      </c>
      <c r="AD73" s="22">
        <f>DEGREES(ASIN(Targets_UW[[#This Row],[TWSTop]]*SIN(RADIANS(Targets_UW[[#This Row],[TWA (deg)]]+Targets_UW[[#This Row],[LEEWAY (deg)]]))/Targets_UW[[#This Row],[AWSTop]]))</f>
        <v>23.714821462222456</v>
      </c>
      <c r="AE73" s="22">
        <f>Targets_UW[[#This Row],[AWA+Leeway Top]]-Targets_UW[[#This Row],[ROT (deg)]]</f>
        <v>11.714821462222456</v>
      </c>
      <c r="AF73" s="22">
        <f>Targets_UW[[#This Row],[CLEW (deg)]]+Targets_UW[[#This Row],[TWIST (deg)]]</f>
        <v>5.1999999999999993</v>
      </c>
      <c r="AG73" s="23">
        <f>Targets_UW[[#This Row],[AWA+Leeway Top]]-Targets_UW[[#This Row],[CA6]]</f>
        <v>18.514821462222457</v>
      </c>
      <c r="AH73" s="22">
        <f>Targets_UW[[#This Row],[AWA+Leeway]]-Targets_UW[[#This Row],[JibLead (deg)]]</f>
        <v>13.009372122324244</v>
      </c>
    </row>
    <row r="74" spans="1:34" x14ac:dyDescent="0.25">
      <c r="A74" s="20" t="s">
        <v>40</v>
      </c>
      <c r="B74" s="21" t="s">
        <v>37</v>
      </c>
      <c r="C74" s="21" t="s">
        <v>36</v>
      </c>
      <c r="D74" s="21">
        <v>24</v>
      </c>
      <c r="E74" s="21" t="str">
        <f t="shared" si="7"/>
        <v>H1-2B_LAB2_LARW2-24m</v>
      </c>
      <c r="F74" s="21">
        <v>11</v>
      </c>
      <c r="G74" s="22">
        <f>ABS(Targets_UW[[#This Row],[BSP (km/h)]]*COS(RADIANS(Targets_UW[[#This Row],[TWA (deg)]]+Targets_UW[[#This Row],[LEEWAY (deg)]])))</f>
        <v>9.4027431460694189</v>
      </c>
      <c r="H74" s="22">
        <v>17.5</v>
      </c>
      <c r="I74" s="22">
        <v>53</v>
      </c>
      <c r="J74" s="22">
        <v>4.5</v>
      </c>
      <c r="K74" s="22">
        <v>0</v>
      </c>
      <c r="L74" s="22">
        <v>-9</v>
      </c>
      <c r="M74" s="22">
        <f>Targets_UW[[#This Row],[CANT (deg)]]-Targets_UW[[#This Row],[HEEL (deg)]]</f>
        <v>9</v>
      </c>
      <c r="N74" s="22"/>
      <c r="O74" s="22">
        <v>0</v>
      </c>
      <c r="P74" s="22">
        <v>3.3</v>
      </c>
      <c r="Q74" s="22">
        <v>-0.5</v>
      </c>
      <c r="R74" s="22">
        <v>-31</v>
      </c>
      <c r="S74" s="22">
        <f>Targets_UW[[#This Row],[CLEW (deg)]]-0.5*Targets_UW[[#This Row],[CA1 (deg)]]</f>
        <v>11.5</v>
      </c>
      <c r="T74" s="22">
        <v>-4</v>
      </c>
      <c r="U74" s="22">
        <v>8.4</v>
      </c>
      <c r="V74" s="22">
        <v>120</v>
      </c>
      <c r="W74" s="22">
        <v>8.6</v>
      </c>
      <c r="X74" s="22">
        <v>360</v>
      </c>
      <c r="Y74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25.181547792253106</v>
      </c>
      <c r="Z74" s="22">
        <f>DEGREES(ASIN(Targets_UW[[#This Row],[TWS (km/h)]]*SIN(RADIANS(Targets_UW[[#This Row],[TWA (deg)]]+Targets_UW[[#This Row],[LEEWAY (deg)]]))/Targets_UW[[#This Row],[AWS]]))</f>
        <v>21.618011912801443</v>
      </c>
      <c r="AA74" s="22">
        <f>Targets_UW[[#This Row],[AWA+Leeway]]-Targets_UW[[#This Row],[ROT (deg)]]</f>
        <v>10.118011912801443</v>
      </c>
      <c r="AB74" s="22">
        <f>Targets_UW[[#This Row],[TWS (km/h)]]*(Targets_UW[[#This Row],[Wing]]/10)^0.1</f>
        <v>12.006427681796866</v>
      </c>
      <c r="AC74" s="22">
        <f>SQRT(Targets_UW[[#This Row],[TWSTop]]^2+Targets_UW[[#This Row],[BSP (km/h)]]^2+2*Targets_UW[[#This Row],[BSP (km/h)]]*Targets_UW[[#This Row],[TWSTop]]*COS(RADIANS(Targets_UW[[#This Row],[TWA (deg)]]+Targets_UW[[#This Row],[LEEWAY (deg)]])))</f>
        <v>26.003673141804512</v>
      </c>
      <c r="AD74" s="22">
        <f>DEGREES(ASIN(Targets_UW[[#This Row],[TWSTop]]*SIN(RADIANS(Targets_UW[[#This Row],[TWA (deg)]]+Targets_UW[[#This Row],[LEEWAY (deg)]]))/Targets_UW[[#This Row],[AWSTop]]))</f>
        <v>22.917859947840668</v>
      </c>
      <c r="AE74" s="22">
        <f>Targets_UW[[#This Row],[AWA+Leeway Top]]-Targets_UW[[#This Row],[ROT (deg)]]</f>
        <v>11.417859947840668</v>
      </c>
      <c r="AF74" s="22">
        <f>Targets_UW[[#This Row],[CLEW (deg)]]+Targets_UW[[#This Row],[TWIST (deg)]]</f>
        <v>4.4000000000000004</v>
      </c>
      <c r="AG74" s="23">
        <f>Targets_UW[[#This Row],[AWA+Leeway Top]]-Targets_UW[[#This Row],[CA6]]</f>
        <v>18.51785994784067</v>
      </c>
      <c r="AH74" s="22">
        <f>Targets_UW[[#This Row],[AWA+Leeway]]-Targets_UW[[#This Row],[JibLead (deg)]]</f>
        <v>13.018011912801443</v>
      </c>
    </row>
    <row r="75" spans="1:34" x14ac:dyDescent="0.25">
      <c r="A75" s="20" t="s">
        <v>40</v>
      </c>
      <c r="B75" s="21" t="s">
        <v>37</v>
      </c>
      <c r="C75" s="21" t="s">
        <v>36</v>
      </c>
      <c r="D75" s="21">
        <v>24</v>
      </c>
      <c r="E75" s="21" t="str">
        <f t="shared" si="7"/>
        <v>H1-2B_LAB2_LARW2-24m</v>
      </c>
      <c r="F75" s="21">
        <v>12</v>
      </c>
      <c r="G75" s="22">
        <f>ABS(Targets_UW[[#This Row],[BSP (km/h)]]*COS(RADIANS(Targets_UW[[#This Row],[TWA (deg)]]+Targets_UW[[#This Row],[LEEWAY (deg)]])))</f>
        <v>10.348141665285514</v>
      </c>
      <c r="H75" s="22">
        <v>19</v>
      </c>
      <c r="I75" s="22">
        <v>52.5</v>
      </c>
      <c r="J75" s="22">
        <v>4.5</v>
      </c>
      <c r="K75" s="22">
        <v>0</v>
      </c>
      <c r="L75" s="22">
        <v>-9</v>
      </c>
      <c r="M75" s="22">
        <f>Targets_UW[[#This Row],[CANT (deg)]]-Targets_UW[[#This Row],[HEEL (deg)]]</f>
        <v>9</v>
      </c>
      <c r="N75" s="22"/>
      <c r="O75" s="22">
        <v>0</v>
      </c>
      <c r="P75" s="22">
        <v>3.3</v>
      </c>
      <c r="Q75" s="22">
        <v>-0.5</v>
      </c>
      <c r="R75" s="22">
        <v>-31</v>
      </c>
      <c r="S75" s="22">
        <f>Targets_UW[[#This Row],[CLEW (deg)]]-0.5*Targets_UW[[#This Row],[CA1 (deg)]]</f>
        <v>11.5</v>
      </c>
      <c r="T75" s="22">
        <v>-4</v>
      </c>
      <c r="U75" s="22">
        <v>8.3000000000000007</v>
      </c>
      <c r="V75" s="22">
        <v>135</v>
      </c>
      <c r="W75" s="22">
        <v>8.5</v>
      </c>
      <c r="X75" s="22">
        <v>410</v>
      </c>
      <c r="Y75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27.447320451491297</v>
      </c>
      <c r="Z75" s="22">
        <f>DEGREES(ASIN(Targets_UW[[#This Row],[TWS (km/h)]]*SIN(RADIANS(Targets_UW[[#This Row],[TWA (deg)]]+Targets_UW[[#This Row],[LEEWAY (deg)]]))/Targets_UW[[#This Row],[AWS]]))</f>
        <v>21.510254045832607</v>
      </c>
      <c r="AA75" s="22">
        <f>Targets_UW[[#This Row],[AWA+Leeway]]-Targets_UW[[#This Row],[ROT (deg)]]</f>
        <v>10.010254045832607</v>
      </c>
      <c r="AB75" s="22">
        <f>Targets_UW[[#This Row],[TWS (km/h)]]*(Targets_UW[[#This Row],[Wing]]/10)^0.1</f>
        <v>13.097921107414763</v>
      </c>
      <c r="AC75" s="22">
        <f>SQRT(Targets_UW[[#This Row],[TWSTop]]^2+Targets_UW[[#This Row],[BSP (km/h)]]^2+2*Targets_UW[[#This Row],[BSP (km/h)]]*Targets_UW[[#This Row],[TWSTop]]*COS(RADIANS(Targets_UW[[#This Row],[TWA (deg)]]+Targets_UW[[#This Row],[LEEWAY (deg)]])))</f>
        <v>28.348435999479474</v>
      </c>
      <c r="AD75" s="22">
        <f>DEGREES(ASIN(Targets_UW[[#This Row],[TWSTop]]*SIN(RADIANS(Targets_UW[[#This Row],[TWA (deg)]]+Targets_UW[[#This Row],[LEEWAY (deg)]]))/Targets_UW[[#This Row],[AWSTop]]))</f>
        <v>22.798640986974608</v>
      </c>
      <c r="AE75" s="22">
        <f>Targets_UW[[#This Row],[AWA+Leeway Top]]-Targets_UW[[#This Row],[ROT (deg)]]</f>
        <v>11.298640986974608</v>
      </c>
      <c r="AF75" s="22">
        <f>Targets_UW[[#This Row],[CLEW (deg)]]+Targets_UW[[#This Row],[TWIST (deg)]]</f>
        <v>4.3000000000000007</v>
      </c>
      <c r="AG75" s="23">
        <f>Targets_UW[[#This Row],[AWA+Leeway Top]]-Targets_UW[[#This Row],[CA6]]</f>
        <v>18.498640986974607</v>
      </c>
      <c r="AH75" s="22">
        <f>Targets_UW[[#This Row],[AWA+Leeway]]-Targets_UW[[#This Row],[JibLead (deg)]]</f>
        <v>13.010254045832607</v>
      </c>
    </row>
    <row r="76" spans="1:34" x14ac:dyDescent="0.25">
      <c r="A76" s="20" t="s">
        <v>40</v>
      </c>
      <c r="B76" s="21" t="s">
        <v>37</v>
      </c>
      <c r="C76" s="21" t="s">
        <v>36</v>
      </c>
      <c r="D76" s="21">
        <v>24</v>
      </c>
      <c r="E76" s="21" t="str">
        <f t="shared" si="7"/>
        <v>H1-2B_LAB2_LARW2-24m</v>
      </c>
      <c r="F76" s="21">
        <v>13</v>
      </c>
      <c r="G76" s="22">
        <f>ABS(Targets_UW[[#This Row],[BSP (km/h)]]*COS(RADIANS(Targets_UW[[#This Row],[TWA (deg)]]+Targets_UW[[#This Row],[LEEWAY (deg)]])))</f>
        <v>11.314708198897192</v>
      </c>
      <c r="H76" s="22">
        <v>20.5</v>
      </c>
      <c r="I76" s="22">
        <v>52</v>
      </c>
      <c r="J76" s="22">
        <v>4.5</v>
      </c>
      <c r="K76" s="22">
        <v>0</v>
      </c>
      <c r="L76" s="22">
        <v>-9</v>
      </c>
      <c r="M76" s="22">
        <f>Targets_UW[[#This Row],[CANT (deg)]]-Targets_UW[[#This Row],[HEEL (deg)]]</f>
        <v>9</v>
      </c>
      <c r="N76" s="22"/>
      <c r="O76" s="22">
        <v>0</v>
      </c>
      <c r="P76" s="22">
        <v>3.3</v>
      </c>
      <c r="Q76" s="22">
        <v>-0.5</v>
      </c>
      <c r="R76" s="22">
        <v>-31</v>
      </c>
      <c r="S76" s="22">
        <f>Targets_UW[[#This Row],[CLEW (deg)]]-0.5*Targets_UW[[#This Row],[CA1 (deg)]]</f>
        <v>11.5</v>
      </c>
      <c r="T76" s="22">
        <v>-4</v>
      </c>
      <c r="U76" s="22">
        <v>8.1999999999999993</v>
      </c>
      <c r="V76" s="22">
        <v>160</v>
      </c>
      <c r="W76" s="22">
        <v>8.4</v>
      </c>
      <c r="X76" s="22">
        <v>440</v>
      </c>
      <c r="Y76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29.722590956565799</v>
      </c>
      <c r="Z76" s="22">
        <f>DEGREES(ASIN(Targets_UW[[#This Row],[TWS (km/h)]]*SIN(RADIANS(Targets_UW[[#This Row],[TWA (deg)]]+Targets_UW[[#This Row],[LEEWAY (deg)]]))/Targets_UW[[#This Row],[AWS]]))</f>
        <v>21.390543160521943</v>
      </c>
      <c r="AA76" s="22">
        <f>Targets_UW[[#This Row],[AWA+Leeway]]-Targets_UW[[#This Row],[ROT (deg)]]</f>
        <v>9.8905431605219434</v>
      </c>
      <c r="AB76" s="22">
        <f>Targets_UW[[#This Row],[TWS (km/h)]]*(Targets_UW[[#This Row],[Wing]]/10)^0.1</f>
        <v>14.189414533032661</v>
      </c>
      <c r="AC76" s="22">
        <f>SQRT(Targets_UW[[#This Row],[TWSTop]]^2+Targets_UW[[#This Row],[BSP (km/h)]]^2+2*Targets_UW[[#This Row],[BSP (km/h)]]*Targets_UW[[#This Row],[TWSTop]]*COS(RADIANS(Targets_UW[[#This Row],[TWA (deg)]]+Targets_UW[[#This Row],[LEEWAY (deg)]])))</f>
        <v>30.703218963150256</v>
      </c>
      <c r="AD76" s="22">
        <f>DEGREES(ASIN(Targets_UW[[#This Row],[TWSTop]]*SIN(RADIANS(Targets_UW[[#This Row],[TWA (deg)]]+Targets_UW[[#This Row],[LEEWAY (deg)]]))/Targets_UW[[#This Row],[AWSTop]]))</f>
        <v>22.667222081428456</v>
      </c>
      <c r="AE76" s="22">
        <f>Targets_UW[[#This Row],[AWA+Leeway Top]]-Targets_UW[[#This Row],[ROT (deg)]]</f>
        <v>11.167222081428456</v>
      </c>
      <c r="AF76" s="22">
        <f>Targets_UW[[#This Row],[CLEW (deg)]]+Targets_UW[[#This Row],[TWIST (deg)]]</f>
        <v>4.1999999999999993</v>
      </c>
      <c r="AG76" s="23">
        <f>Targets_UW[[#This Row],[AWA+Leeway Top]]-Targets_UW[[#This Row],[CA6]]</f>
        <v>18.467222081428456</v>
      </c>
      <c r="AH76" s="22">
        <f>Targets_UW[[#This Row],[AWA+Leeway]]-Targets_UW[[#This Row],[JibLead (deg)]]</f>
        <v>12.990543160521943</v>
      </c>
    </row>
    <row r="77" spans="1:34" x14ac:dyDescent="0.25">
      <c r="A77" s="24" t="s">
        <v>41</v>
      </c>
      <c r="B77" s="25" t="s">
        <v>37</v>
      </c>
      <c r="C77" s="25" t="s">
        <v>36</v>
      </c>
      <c r="D77" s="25">
        <v>24</v>
      </c>
      <c r="E77" s="25" t="str">
        <f t="shared" si="7"/>
        <v>H1_LAB2_LARW2-24m</v>
      </c>
      <c r="F77" s="25">
        <v>12</v>
      </c>
      <c r="G77" s="26">
        <f>ABS(Targets_UW[[#This Row],[BSP (km/h)]]*COS(RADIANS(Targets_UW[[#This Row],[TWA (deg)]]+Targets_UW[[#This Row],[LEEWAY (deg)]])))</f>
        <v>10.912074803655141</v>
      </c>
      <c r="H77" s="26">
        <v>21.5</v>
      </c>
      <c r="I77" s="26">
        <v>56.5</v>
      </c>
      <c r="J77" s="26">
        <v>3</v>
      </c>
      <c r="K77" s="26">
        <v>0</v>
      </c>
      <c r="L77" s="26">
        <v>-9</v>
      </c>
      <c r="M77" s="26">
        <f>Targets_UW[[#This Row],[CANT (deg)]]-Targets_UW[[#This Row],[HEEL (deg)]]</f>
        <v>9</v>
      </c>
      <c r="N77" s="26"/>
      <c r="O77" s="26">
        <v>0</v>
      </c>
      <c r="P77" s="26">
        <v>2.8</v>
      </c>
      <c r="Q77" s="26">
        <v>-0.8</v>
      </c>
      <c r="R77" s="26">
        <v>-29</v>
      </c>
      <c r="S77" s="26">
        <f>Targets_UW[[#This Row],[CLEW (deg)]]-0.5*Targets_UW[[#This Row],[CA1 (deg)]]</f>
        <v>10.5</v>
      </c>
      <c r="T77" s="26">
        <v>-4</v>
      </c>
      <c r="U77" s="26">
        <v>7</v>
      </c>
      <c r="V77" s="26">
        <v>160</v>
      </c>
      <c r="W77" s="26">
        <v>8</v>
      </c>
      <c r="X77" s="26">
        <v>440</v>
      </c>
      <c r="Y77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29.464212110418352</v>
      </c>
      <c r="Z77" s="26">
        <f>DEGREES(ASIN(Targets_UW[[#This Row],[TWS (km/h)]]*SIN(RADIANS(Targets_UW[[#This Row],[TWA (deg)]]+Targets_UW[[#This Row],[LEEWAY (deg)]]))/Targets_UW[[#This Row],[AWS]]))</f>
        <v>20.543531562359725</v>
      </c>
      <c r="AA77" s="26">
        <f>Targets_UW[[#This Row],[AWA+Leeway]]-Targets_UW[[#This Row],[ROT (deg)]]</f>
        <v>10.043531562359725</v>
      </c>
      <c r="AB77" s="26">
        <f>Targets_UW[[#This Row],[TWS (km/h)]]*(Targets_UW[[#This Row],[Wing]]/10)^0.1</f>
        <v>13.097921107414763</v>
      </c>
      <c r="AC77" s="26">
        <f>SQRT(Targets_UW[[#This Row],[TWSTop]]^2+Targets_UW[[#This Row],[BSP (km/h)]]^2+2*Targets_UW[[#This Row],[BSP (km/h)]]*Targets_UW[[#This Row],[TWSTop]]*COS(RADIANS(Targets_UW[[#This Row],[TWA (deg)]]+Targets_UW[[#This Row],[LEEWAY (deg)]])))</f>
        <v>30.325839265039775</v>
      </c>
      <c r="AD77" s="26">
        <f>DEGREES(ASIN(Targets_UW[[#This Row],[TWSTop]]*SIN(RADIANS(Targets_UW[[#This Row],[TWA (deg)]]+Targets_UW[[#This Row],[LEEWAY (deg)]]))/Targets_UW[[#This Row],[AWSTop]]))</f>
        <v>21.847846491850841</v>
      </c>
      <c r="AE77" s="26">
        <f>Targets_UW[[#This Row],[AWA+Leeway Top]]-Targets_UW[[#This Row],[ROT (deg)]]</f>
        <v>11.347846491850841</v>
      </c>
      <c r="AF77" s="26">
        <f>Targets_UW[[#This Row],[CLEW (deg)]]+Targets_UW[[#This Row],[TWIST (deg)]]</f>
        <v>3</v>
      </c>
      <c r="AG77" s="27">
        <f>Targets_UW[[#This Row],[AWA+Leeway Top]]-Targets_UW[[#This Row],[CA6]]</f>
        <v>18.847846491850841</v>
      </c>
      <c r="AH77" s="26">
        <f>Targets_UW[[#This Row],[AWA+Leeway]]-Targets_UW[[#This Row],[JibLead (deg)]]</f>
        <v>12.543531562359725</v>
      </c>
    </row>
    <row r="78" spans="1:34" x14ac:dyDescent="0.25">
      <c r="A78" s="24" t="s">
        <v>41</v>
      </c>
      <c r="B78" s="25" t="s">
        <v>37</v>
      </c>
      <c r="C78" s="25" t="s">
        <v>36</v>
      </c>
      <c r="D78" s="25">
        <v>24</v>
      </c>
      <c r="E78" s="25" t="str">
        <f t="shared" si="7"/>
        <v>H1_LAB2_LARW2-24m</v>
      </c>
      <c r="F78" s="25">
        <v>13</v>
      </c>
      <c r="G78" s="26">
        <f>ABS(Targets_UW[[#This Row],[BSP (km/h)]]*COS(RADIANS(Targets_UW[[#This Row],[TWA (deg)]]+Targets_UW[[#This Row],[LEEWAY (deg)]])))</f>
        <v>12.119983296423582</v>
      </c>
      <c r="H78" s="26">
        <v>23</v>
      </c>
      <c r="I78" s="26">
        <v>55</v>
      </c>
      <c r="J78" s="26">
        <v>3.2</v>
      </c>
      <c r="K78" s="26">
        <v>2</v>
      </c>
      <c r="L78" s="26">
        <v>-9</v>
      </c>
      <c r="M78" s="26">
        <f>Targets_UW[[#This Row],[CANT (deg)]]-Targets_UW[[#This Row],[HEEL (deg)]]</f>
        <v>11</v>
      </c>
      <c r="N78" s="26"/>
      <c r="O78" s="26">
        <v>0</v>
      </c>
      <c r="P78" s="26">
        <v>2.8</v>
      </c>
      <c r="Q78" s="26">
        <v>-0.8</v>
      </c>
      <c r="R78" s="26">
        <v>-28.5</v>
      </c>
      <c r="S78" s="26">
        <f>Targets_UW[[#This Row],[CLEW (deg)]]-0.5*Targets_UW[[#This Row],[CA1 (deg)]]</f>
        <v>10.25</v>
      </c>
      <c r="T78" s="26">
        <v>-4</v>
      </c>
      <c r="U78" s="26">
        <v>10</v>
      </c>
      <c r="V78" s="26">
        <v>170</v>
      </c>
      <c r="W78" s="26">
        <v>7.7</v>
      </c>
      <c r="X78" s="26">
        <v>500</v>
      </c>
      <c r="Y78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31.829539200356219</v>
      </c>
      <c r="Z78" s="26">
        <f>DEGREES(ASIN(Targets_UW[[#This Row],[TWS (km/h)]]*SIN(RADIANS(Targets_UW[[#This Row],[TWA (deg)]]+Targets_UW[[#This Row],[LEEWAY (deg)]]))/Targets_UW[[#This Row],[AWS]]))</f>
        <v>20.311138214429107</v>
      </c>
      <c r="AA78" s="26">
        <f>Targets_UW[[#This Row],[AWA+Leeway]]-Targets_UW[[#This Row],[ROT (deg)]]</f>
        <v>10.061138214429107</v>
      </c>
      <c r="AB78" s="26">
        <f>Targets_UW[[#This Row],[TWS (km/h)]]*(Targets_UW[[#This Row],[Wing]]/10)^0.1</f>
        <v>14.189414533032661</v>
      </c>
      <c r="AC78" s="26">
        <f>SQRT(Targets_UW[[#This Row],[TWSTop]]^2+Targets_UW[[#This Row],[BSP (km/h)]]^2+2*Targets_UW[[#This Row],[BSP (km/h)]]*Targets_UW[[#This Row],[TWSTop]]*COS(RADIANS(Targets_UW[[#This Row],[TWA (deg)]]+Targets_UW[[#This Row],[LEEWAY (deg)]])))</f>
        <v>32.776369827102727</v>
      </c>
      <c r="AD78" s="26">
        <f>DEGREES(ASIN(Targets_UW[[#This Row],[TWSTop]]*SIN(RADIANS(Targets_UW[[#This Row],[TWA (deg)]]+Targets_UW[[#This Row],[LEEWAY (deg)]]))/Targets_UW[[#This Row],[AWSTop]]))</f>
        <v>21.588143099455621</v>
      </c>
      <c r="AE78" s="26">
        <f>Targets_UW[[#This Row],[AWA+Leeway Top]]-Targets_UW[[#This Row],[ROT (deg)]]</f>
        <v>11.338143099455621</v>
      </c>
      <c r="AF78" s="26">
        <f>Targets_UW[[#This Row],[CLEW (deg)]]+Targets_UW[[#This Row],[TWIST (deg)]]</f>
        <v>6</v>
      </c>
      <c r="AG78" s="27">
        <f>Targets_UW[[#This Row],[AWA+Leeway Top]]-Targets_UW[[#This Row],[CA6]]</f>
        <v>15.588143099455621</v>
      </c>
      <c r="AH78" s="26">
        <f>Targets_UW[[#This Row],[AWA+Leeway]]-Targets_UW[[#This Row],[JibLead (deg)]]</f>
        <v>12.611138214429108</v>
      </c>
    </row>
    <row r="79" spans="1:34" ht="15.75" thickBot="1" x14ac:dyDescent="0.3">
      <c r="A79" s="28" t="s">
        <v>41</v>
      </c>
      <c r="B79" s="29" t="s">
        <v>37</v>
      </c>
      <c r="C79" s="29" t="s">
        <v>36</v>
      </c>
      <c r="D79" s="29">
        <v>24</v>
      </c>
      <c r="E79" s="29" t="str">
        <f t="shared" ref="E79:E81" si="8">A79 &amp; "_" &amp; B79 &amp; "_" &amp; C79 &amp; "-" &amp; D79 &amp; "m"</f>
        <v>H1_LAB2_LARW2-24m</v>
      </c>
      <c r="F79" s="29">
        <v>14</v>
      </c>
      <c r="G79" s="30">
        <f>ABS(Targets_UW[[#This Row],[BSP (km/h)]]*COS(RADIANS(Targets_UW[[#This Row],[TWA (deg)]]+Targets_UW[[#This Row],[LEEWAY (deg)]])))</f>
        <v>13.246487647489396</v>
      </c>
      <c r="H79" s="30">
        <v>24</v>
      </c>
      <c r="I79" s="30">
        <v>53</v>
      </c>
      <c r="J79" s="30">
        <v>3.5</v>
      </c>
      <c r="K79" s="30">
        <v>4</v>
      </c>
      <c r="L79" s="30">
        <v>-9</v>
      </c>
      <c r="M79" s="30">
        <f>Targets_UW[[#This Row],[CANT (deg)]]-Targets_UW[[#This Row],[HEEL (deg)]]</f>
        <v>13</v>
      </c>
      <c r="N79" s="30"/>
      <c r="O79" s="30">
        <v>0</v>
      </c>
      <c r="P79" s="30">
        <v>2.8</v>
      </c>
      <c r="Q79" s="30">
        <v>-0.8</v>
      </c>
      <c r="R79" s="30">
        <v>-26.5</v>
      </c>
      <c r="S79" s="30">
        <f>Targets_UW[[#This Row],[CLEW (deg)]]-0.5*Targets_UW[[#This Row],[CA1 (deg)]]</f>
        <v>10.25</v>
      </c>
      <c r="T79" s="30">
        <v>-3</v>
      </c>
      <c r="U79" s="30">
        <v>10</v>
      </c>
      <c r="V79" s="30">
        <v>200</v>
      </c>
      <c r="W79" s="30">
        <v>7.1</v>
      </c>
      <c r="X79" s="30">
        <v>600</v>
      </c>
      <c r="Y79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33.806828513330011</v>
      </c>
      <c r="Z79" s="30">
        <f>DEGREES(ASIN(Targets_UW[[#This Row],[TWS (km/h)]]*SIN(RADIANS(Targets_UW[[#This Row],[TWA (deg)]]+Targets_UW[[#This Row],[LEEWAY (deg)]]))/Targets_UW[[#This Row],[AWS]]))</f>
        <v>20.201741791082998</v>
      </c>
      <c r="AA79" s="30">
        <f>Targets_UW[[#This Row],[AWA+Leeway]]-Targets_UW[[#This Row],[ROT (deg)]]</f>
        <v>9.9517417910829984</v>
      </c>
      <c r="AB79" s="30">
        <f>Targets_UW[[#This Row],[TWS (km/h)]]*(Targets_UW[[#This Row],[Wing]]/10)^0.1</f>
        <v>15.280907958650557</v>
      </c>
      <c r="AC79" s="30">
        <f>SQRT(Targets_UW[[#This Row],[TWSTop]]^2+Targets_UW[[#This Row],[BSP (km/h)]]^2+2*Targets_UW[[#This Row],[BSP (km/h)]]*Targets_UW[[#This Row],[TWSTop]]*COS(RADIANS(Targets_UW[[#This Row],[TWA (deg)]]+Targets_UW[[#This Row],[LEEWAY (deg)]])))</f>
        <v>34.847422646074186</v>
      </c>
      <c r="AD79" s="30">
        <f>DEGREES(ASIN(Targets_UW[[#This Row],[TWSTop]]*SIN(RADIANS(Targets_UW[[#This Row],[TWA (deg)]]+Targets_UW[[#This Row],[LEEWAY (deg)]]))/Targets_UW[[#This Row],[AWSTop]]))</f>
        <v>21.448601449798954</v>
      </c>
      <c r="AE79" s="30">
        <f>Targets_UW[[#This Row],[AWA+Leeway Top]]-Targets_UW[[#This Row],[ROT (deg)]]</f>
        <v>11.198601449798954</v>
      </c>
      <c r="AF79" s="30">
        <f>Targets_UW[[#This Row],[CLEW (deg)]]+Targets_UW[[#This Row],[TWIST (deg)]]</f>
        <v>7</v>
      </c>
      <c r="AG79" s="31">
        <f>Targets_UW[[#This Row],[AWA+Leeway Top]]-Targets_UW[[#This Row],[CA6]]</f>
        <v>14.448601449798954</v>
      </c>
      <c r="AH79" s="26">
        <f>Targets_UW[[#This Row],[AWA+Leeway]]-Targets_UW[[#This Row],[JibLead (deg)]]</f>
        <v>13.101741791082999</v>
      </c>
    </row>
    <row r="80" spans="1:34" ht="15.75" thickBot="1" x14ac:dyDescent="0.3">
      <c r="A80" s="28" t="s">
        <v>41</v>
      </c>
      <c r="B80" s="29" t="s">
        <v>37</v>
      </c>
      <c r="C80" s="29" t="s">
        <v>36</v>
      </c>
      <c r="D80" s="29">
        <v>24</v>
      </c>
      <c r="E80" s="29" t="str">
        <f t="shared" si="8"/>
        <v>H1_LAB2_LARW2-24m</v>
      </c>
      <c r="F80" s="29">
        <v>16</v>
      </c>
      <c r="G80" s="30">
        <f>ABS(Targets_UW[[#This Row],[BSP (km/h)]]*COS(RADIANS(Targets_UW[[#This Row],[TWA (deg)]]+Targets_UW[[#This Row],[LEEWAY (deg)]])))</f>
        <v>14.870569668783535</v>
      </c>
      <c r="H80" s="30">
        <v>25</v>
      </c>
      <c r="I80" s="30">
        <v>50</v>
      </c>
      <c r="J80" s="30">
        <v>3.5</v>
      </c>
      <c r="K80" s="30">
        <v>5</v>
      </c>
      <c r="L80" s="30">
        <v>-9</v>
      </c>
      <c r="M80" s="30">
        <f>Targets_UW[[#This Row],[CANT (deg)]]-Targets_UW[[#This Row],[HEEL (deg)]]</f>
        <v>14</v>
      </c>
      <c r="N80" s="30"/>
      <c r="O80" s="30">
        <v>0</v>
      </c>
      <c r="P80" s="30">
        <v>2.8</v>
      </c>
      <c r="Q80" s="30">
        <v>-0.6</v>
      </c>
      <c r="R80" s="30">
        <v>-25</v>
      </c>
      <c r="S80" s="30">
        <f>Targets_UW[[#This Row],[CLEW (deg)]]-0.5*Targets_UW[[#This Row],[CA1 (deg)]]</f>
        <v>11.5</v>
      </c>
      <c r="T80" s="30">
        <v>-1</v>
      </c>
      <c r="U80" s="30">
        <v>10</v>
      </c>
      <c r="V80" s="30">
        <v>400</v>
      </c>
      <c r="W80" s="30">
        <v>7</v>
      </c>
      <c r="X80" s="30">
        <v>600</v>
      </c>
      <c r="Y80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36.835556591438561</v>
      </c>
      <c r="Z80" s="30">
        <f>DEGREES(ASIN(Targets_UW[[#This Row],[TWS (km/h)]]*SIN(RADIANS(Targets_UW[[#This Row],[TWA (deg)]]+Targets_UW[[#This Row],[LEEWAY (deg)]]))/Targets_UW[[#This Row],[AWS]]))</f>
        <v>20.43628889632236</v>
      </c>
      <c r="AA80" s="30">
        <f>Targets_UW[[#This Row],[AWA+Leeway]]-Targets_UW[[#This Row],[ROT (deg)]]</f>
        <v>8.9362888963223597</v>
      </c>
      <c r="AB80" s="30">
        <f>Targets_UW[[#This Row],[TWS (km/h)]]*(Targets_UW[[#This Row],[Wing]]/10)^0.1</f>
        <v>17.463894809886352</v>
      </c>
      <c r="AC80" s="30">
        <f>SQRT(Targets_UW[[#This Row],[TWSTop]]^2+Targets_UW[[#This Row],[BSP (km/h)]]^2+2*Targets_UW[[#This Row],[BSP (km/h)]]*Targets_UW[[#This Row],[TWSTop]]*COS(RADIANS(Targets_UW[[#This Row],[TWA (deg)]]+Targets_UW[[#This Row],[LEEWAY (deg)]])))</f>
        <v>38.070772921602469</v>
      </c>
      <c r="AD80" s="30">
        <f>DEGREES(ASIN(Targets_UW[[#This Row],[TWSTop]]*SIN(RADIANS(Targets_UW[[#This Row],[TWA (deg)]]+Targets_UW[[#This Row],[LEEWAY (deg)]]))/Targets_UW[[#This Row],[AWSTop]]))</f>
        <v>21.638343411181935</v>
      </c>
      <c r="AE80" s="30">
        <f>Targets_UW[[#This Row],[AWA+Leeway Top]]-Targets_UW[[#This Row],[ROT (deg)]]</f>
        <v>10.138343411181935</v>
      </c>
      <c r="AF80" s="30">
        <f>Targets_UW[[#This Row],[CLEW (deg)]]+Targets_UW[[#This Row],[TWIST (deg)]]</f>
        <v>9</v>
      </c>
      <c r="AG80" s="31">
        <f>Targets_UW[[#This Row],[AWA+Leeway Top]]-Targets_UW[[#This Row],[CA6]]</f>
        <v>12.638343411181935</v>
      </c>
      <c r="AH80" s="26">
        <f>Targets_UW[[#This Row],[AWA+Leeway]]-Targets_UW[[#This Row],[JibLead (deg)]]</f>
        <v>13.43628889632236</v>
      </c>
    </row>
    <row r="81" spans="1:34" ht="15.75" thickBot="1" x14ac:dyDescent="0.3">
      <c r="A81" s="28" t="s">
        <v>41</v>
      </c>
      <c r="B81" s="29" t="s">
        <v>37</v>
      </c>
      <c r="C81" s="29" t="s">
        <v>36</v>
      </c>
      <c r="D81" s="29">
        <v>24</v>
      </c>
      <c r="E81" s="29" t="str">
        <f t="shared" si="8"/>
        <v>H1_LAB2_LARW2-24m</v>
      </c>
      <c r="F81" s="29">
        <v>18</v>
      </c>
      <c r="G81" s="30">
        <f>ABS(Targets_UW[[#This Row],[BSP (km/h)]]*COS(RADIANS(Targets_UW[[#This Row],[TWA (deg)]]+Targets_UW[[#This Row],[LEEWAY (deg)]])))</f>
        <v>15.901955506944098</v>
      </c>
      <c r="H81" s="30">
        <v>25</v>
      </c>
      <c r="I81" s="30">
        <v>47</v>
      </c>
      <c r="J81" s="30">
        <v>3.5</v>
      </c>
      <c r="K81" s="30">
        <v>5.5</v>
      </c>
      <c r="L81" s="30">
        <v>-9</v>
      </c>
      <c r="M81" s="30">
        <f>Targets_UW[[#This Row],[CANT (deg)]]-Targets_UW[[#This Row],[HEEL (deg)]]</f>
        <v>14.5</v>
      </c>
      <c r="N81" s="30"/>
      <c r="O81" s="30">
        <v>0</v>
      </c>
      <c r="P81" s="30">
        <v>2.8</v>
      </c>
      <c r="Q81" s="30">
        <v>-0.5</v>
      </c>
      <c r="R81" s="30">
        <v>-25</v>
      </c>
      <c r="S81" s="30">
        <f>Targets_UW[[#This Row],[CLEW (deg)]]-0.5*Targets_UW[[#This Row],[CA1 (deg)]]</f>
        <v>12.5</v>
      </c>
      <c r="T81" s="30">
        <v>0</v>
      </c>
      <c r="U81" s="30">
        <v>10</v>
      </c>
      <c r="V81" s="30">
        <v>400</v>
      </c>
      <c r="W81" s="30">
        <v>7</v>
      </c>
      <c r="X81" s="30">
        <v>600</v>
      </c>
      <c r="Y81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39.006030280585946</v>
      </c>
      <c r="Z81" s="30">
        <f>DEGREES(ASIN(Targets_UW[[#This Row],[TWS (km/h)]]*SIN(RADIANS(Targets_UW[[#This Row],[TWA (deg)]]+Targets_UW[[#This Row],[LEEWAY (deg)]]))/Targets_UW[[#This Row],[AWS]]))</f>
        <v>20.859610683235363</v>
      </c>
      <c r="AA81" s="30">
        <f>Targets_UW[[#This Row],[AWA+Leeway]]-Targets_UW[[#This Row],[ROT (deg)]]</f>
        <v>8.3596106832353634</v>
      </c>
      <c r="AB81" s="30">
        <f>Targets_UW[[#This Row],[TWS (km/h)]]*(Targets_UW[[#This Row],[Wing]]/10)^0.1</f>
        <v>19.646881661122144</v>
      </c>
      <c r="AC81" s="30">
        <f>SQRT(Targets_UW[[#This Row],[TWSTop]]^2+Targets_UW[[#This Row],[BSP (km/h)]]^2+2*Targets_UW[[#This Row],[BSP (km/h)]]*Targets_UW[[#This Row],[TWSTop]]*COS(RADIANS(Targets_UW[[#This Row],[TWA (deg)]]+Targets_UW[[#This Row],[LEEWAY (deg)]])))</f>
        <v>40.445613298068039</v>
      </c>
      <c r="AD81" s="30">
        <f>DEGREES(ASIN(Targets_UW[[#This Row],[TWSTop]]*SIN(RADIANS(Targets_UW[[#This Row],[TWA (deg)]]+Targets_UW[[#This Row],[LEEWAY (deg)]]))/Targets_UW[[#This Row],[AWSTop]]))</f>
        <v>22.013481708633769</v>
      </c>
      <c r="AE81" s="30">
        <f>Targets_UW[[#This Row],[AWA+Leeway Top]]-Targets_UW[[#This Row],[ROT (deg)]]</f>
        <v>9.5134817086337691</v>
      </c>
      <c r="AF81" s="30">
        <f>Targets_UW[[#This Row],[CLEW (deg)]]+Targets_UW[[#This Row],[TWIST (deg)]]</f>
        <v>10</v>
      </c>
      <c r="AG81" s="31">
        <f>Targets_UW[[#This Row],[AWA+Leeway Top]]-Targets_UW[[#This Row],[CA6]]</f>
        <v>12.013481708633769</v>
      </c>
      <c r="AH81" s="26">
        <f>Targets_UW[[#This Row],[AWA+Leeway]]-Targets_UW[[#This Row],[JibLead (deg)]]</f>
        <v>13.859610683235363</v>
      </c>
    </row>
    <row r="82" spans="1:34" ht="15.75" thickBot="1" x14ac:dyDescent="0.3">
      <c r="A82" s="28" t="s">
        <v>41</v>
      </c>
      <c r="B82" s="29" t="s">
        <v>37</v>
      </c>
      <c r="C82" s="29" t="s">
        <v>36</v>
      </c>
      <c r="D82" s="29">
        <v>24</v>
      </c>
      <c r="E82" s="29" t="str">
        <f t="shared" si="7"/>
        <v>H1_LAB2_LARW2-24m</v>
      </c>
      <c r="F82" s="29">
        <v>20</v>
      </c>
      <c r="G82" s="30">
        <f>ABS(Targets_UW[[#This Row],[BSP (km/h)]]*COS(RADIANS(Targets_UW[[#This Row],[TWA (deg)]]+Targets_UW[[#This Row],[LEEWAY (deg)]])))</f>
        <v>16.889755190391504</v>
      </c>
      <c r="H82" s="30">
        <v>25</v>
      </c>
      <c r="I82" s="30">
        <v>44</v>
      </c>
      <c r="J82" s="30">
        <v>3.5</v>
      </c>
      <c r="K82" s="30">
        <v>5.5</v>
      </c>
      <c r="L82" s="30">
        <v>-9</v>
      </c>
      <c r="M82" s="30">
        <f>Targets_UW[[#This Row],[CANT (deg)]]-Targets_UW[[#This Row],[HEEL (deg)]]</f>
        <v>14.5</v>
      </c>
      <c r="N82" s="30"/>
      <c r="O82" s="30">
        <v>0</v>
      </c>
      <c r="P82" s="30">
        <v>2.8</v>
      </c>
      <c r="Q82" s="30">
        <v>-0.5</v>
      </c>
      <c r="R82" s="30">
        <v>-25</v>
      </c>
      <c r="S82" s="30">
        <f>Targets_UW[[#This Row],[CLEW (deg)]]-0.5*Targets_UW[[#This Row],[CA1 (deg)]]</f>
        <v>12.5</v>
      </c>
      <c r="T82" s="30">
        <v>0</v>
      </c>
      <c r="U82" s="30">
        <v>10</v>
      </c>
      <c r="V82" s="30">
        <v>400</v>
      </c>
      <c r="W82" s="30">
        <v>7</v>
      </c>
      <c r="X82" s="30">
        <v>600</v>
      </c>
      <c r="Y82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41.238212953711518</v>
      </c>
      <c r="Z82" s="30">
        <f>DEGREES(ASIN(Targets_UW[[#This Row],[TWS (km/h)]]*SIN(RADIANS(Targets_UW[[#This Row],[TWA (deg)]]+Targets_UW[[#This Row],[LEEWAY (deg)]]))/Targets_UW[[#This Row],[AWS]]))</f>
        <v>20.951034604543814</v>
      </c>
      <c r="AA82" s="30">
        <f>Targets_UW[[#This Row],[AWA+Leeway]]-Targets_UW[[#This Row],[ROT (deg)]]</f>
        <v>8.4510346045438141</v>
      </c>
      <c r="AB82" s="30">
        <f>Targets_UW[[#This Row],[TWS (km/h)]]*(Targets_UW[[#This Row],[Wing]]/10)^0.1</f>
        <v>21.82986851235794</v>
      </c>
      <c r="AC82" s="30">
        <f>SQRT(Targets_UW[[#This Row],[TWSTop]]^2+Targets_UW[[#This Row],[BSP (km/h)]]^2+2*Targets_UW[[#This Row],[BSP (km/h)]]*Targets_UW[[#This Row],[TWSTop]]*COS(RADIANS(Targets_UW[[#This Row],[TWA (deg)]]+Targets_UW[[#This Row],[LEEWAY (deg)]])))</f>
        <v>42.882927014036248</v>
      </c>
      <c r="AD82" s="30">
        <f>DEGREES(ASIN(Targets_UW[[#This Row],[TWSTop]]*SIN(RADIANS(Targets_UW[[#This Row],[TWA (deg)]]+Targets_UW[[#This Row],[LEEWAY (deg)]]))/Targets_UW[[#This Row],[AWSTop]]))</f>
        <v>22.043871842042208</v>
      </c>
      <c r="AE82" s="30">
        <f>Targets_UW[[#This Row],[AWA+Leeway Top]]-Targets_UW[[#This Row],[ROT (deg)]]</f>
        <v>9.5438718420422077</v>
      </c>
      <c r="AF82" s="30">
        <f>Targets_UW[[#This Row],[CLEW (deg)]]+Targets_UW[[#This Row],[TWIST (deg)]]</f>
        <v>10</v>
      </c>
      <c r="AG82" s="31">
        <f>Targets_UW[[#This Row],[AWA+Leeway Top]]-Targets_UW[[#This Row],[CA6]]</f>
        <v>12.043871842042208</v>
      </c>
      <c r="AH82" s="26">
        <f>Targets_UW[[#This Row],[AWA+Leeway]]-Targets_UW[[#This Row],[JibLead (deg)]]</f>
        <v>13.951034604543814</v>
      </c>
    </row>
    <row r="83" spans="1:34" x14ac:dyDescent="0.25">
      <c r="A83" s="12" t="s">
        <v>38</v>
      </c>
      <c r="B83" s="13" t="s">
        <v>37</v>
      </c>
      <c r="C83" s="13" t="s">
        <v>36</v>
      </c>
      <c r="D83" s="13">
        <v>27.5</v>
      </c>
      <c r="E83" s="13" t="str">
        <f t="shared" si="7"/>
        <v>H2_LAB2_LARW2-27.5m</v>
      </c>
      <c r="F83" s="13">
        <v>8</v>
      </c>
      <c r="G83" s="14">
        <f>ABS(Targets_UW[[#This Row],[BSP (km/h)]]*COS(RADIANS(Targets_UW[[#This Row],[TWA (deg)]]+Targets_UW[[#This Row],[LEEWAY (deg)]])))</f>
        <v>7.6329386433331674</v>
      </c>
      <c r="H83" s="14">
        <v>12</v>
      </c>
      <c r="I83" s="14">
        <v>47</v>
      </c>
      <c r="J83" s="14">
        <v>3.5</v>
      </c>
      <c r="K83" s="14">
        <v>2.5</v>
      </c>
      <c r="L83" s="14">
        <v>-1.5</v>
      </c>
      <c r="M83" s="14">
        <f>Targets_UW[[#This Row],[CANT (deg)]]-Targets_UW[[#This Row],[HEEL (deg)]]</f>
        <v>4</v>
      </c>
      <c r="N83" s="14"/>
      <c r="O83" s="14">
        <v>0</v>
      </c>
      <c r="P83" s="14">
        <v>2.7</v>
      </c>
      <c r="Q83" s="14">
        <v>-0.3</v>
      </c>
      <c r="R83" s="14">
        <v>-33</v>
      </c>
      <c r="S83" s="14">
        <f>Targets_UW[[#This Row],[CLEW (deg)]]-0.5*Targets_UW[[#This Row],[CA1 (deg)]]</f>
        <v>14.5</v>
      </c>
      <c r="T83" s="14">
        <v>-2</v>
      </c>
      <c r="U83" s="14">
        <v>7.8</v>
      </c>
      <c r="V83" s="14">
        <v>60</v>
      </c>
      <c r="W83" s="14">
        <v>6.6</v>
      </c>
      <c r="X83" s="14">
        <v>200</v>
      </c>
      <c r="Y83" s="14">
        <f>SQRT(Targets_UW[[#This Row],[TWS (km/h)]]^2+Targets_UW[[#This Row],[BSP (km/h)]]^2+2*Targets_UW[[#This Row],[TWS (km/h)]]*Targets_UW[[#This Row],[BSP (km/h)]]*COS(RADIANS(Targets_UW[[#This Row],[TWA (deg)]]+Targets_UW[[#This Row],[LEEWAY (deg)]])))</f>
        <v>18.169397851699177</v>
      </c>
      <c r="Z83" s="14">
        <f>DEGREES(ASIN(Targets_UW[[#This Row],[TWS (km/h)]]*SIN(RADIANS(Targets_UW[[#This Row],[TWA (deg)]]+Targets_UW[[#This Row],[LEEWAY (deg)]]))/Targets_UW[[#This Row],[AWS]]))</f>
        <v>19.861454847492077</v>
      </c>
      <c r="AA83" s="14">
        <f>Targets_UW[[#This Row],[AWA+Leeway]]-Targets_UW[[#This Row],[ROT (deg)]]</f>
        <v>5.3614548474920767</v>
      </c>
      <c r="AB83" s="14">
        <f>Targets_UW[[#This Row],[TWS (km/h)]]*(Targets_UW[[#This Row],[Wing]]/10)^0.1</f>
        <v>8.8516300884816452</v>
      </c>
      <c r="AC83" s="14">
        <f>SQRT(Targets_UW[[#This Row],[TWSTop]]^2+Targets_UW[[#This Row],[BSP (km/h)]]^2+2*Targets_UW[[#This Row],[BSP (km/h)]]*Targets_UW[[#This Row],[TWSTop]]*COS(RADIANS(Targets_UW[[#This Row],[TWA (deg)]]+Targets_UW[[#This Row],[LEEWAY (deg)]])))</f>
        <v>18.907121778341565</v>
      </c>
      <c r="AD83" s="14">
        <f>DEGREES(ASIN(Targets_UW[[#This Row],[TWSTop]]*SIN(RADIANS(Targets_UW[[#This Row],[TWA (deg)]]+Targets_UW[[#This Row],[LEEWAY (deg)]]))/Targets_UW[[#This Row],[AWSTop]]))</f>
        <v>21.176779990119712</v>
      </c>
      <c r="AE83" s="14">
        <f>Targets_UW[[#This Row],[AWA+Leeway Top]]-Targets_UW[[#This Row],[ROT (deg)]]</f>
        <v>6.6767799901197122</v>
      </c>
      <c r="AF83" s="14">
        <f>Targets_UW[[#This Row],[CLEW (deg)]]+Targets_UW[[#This Row],[TWIST (deg)]]</f>
        <v>5.8</v>
      </c>
      <c r="AG83" s="15">
        <f>Targets_UW[[#This Row],[AWA+Leeway Top]]-Targets_UW[[#This Row],[CA6]]</f>
        <v>15.376779990119712</v>
      </c>
      <c r="AH83" s="16">
        <f>Targets_UW[[#This Row],[AWA+Leeway]]-Targets_UW[[#This Row],[JibLead (deg)]]</f>
        <v>13.261454847492077</v>
      </c>
    </row>
    <row r="84" spans="1:34" x14ac:dyDescent="0.25">
      <c r="A84" s="17" t="s">
        <v>38</v>
      </c>
      <c r="B84" s="18" t="s">
        <v>37</v>
      </c>
      <c r="C84" s="18" t="s">
        <v>36</v>
      </c>
      <c r="D84" s="18">
        <v>27.5</v>
      </c>
      <c r="E84" s="18" t="str">
        <f t="shared" si="7"/>
        <v>H2_LAB2_LARW2-27.5m</v>
      </c>
      <c r="F84" s="18">
        <v>9</v>
      </c>
      <c r="G84" s="16">
        <f>ABS(Targets_UW[[#This Row],[BSP (km/h)]]*COS(RADIANS(Targets_UW[[#This Row],[TWA (deg)]]+Targets_UW[[#This Row],[LEEWAY (deg)]])))</f>
        <v>8.9453706509124569</v>
      </c>
      <c r="H84" s="16">
        <v>13.5</v>
      </c>
      <c r="I84" s="16">
        <v>45</v>
      </c>
      <c r="J84" s="16">
        <v>3.5</v>
      </c>
      <c r="K84" s="16">
        <v>2</v>
      </c>
      <c r="L84" s="16">
        <v>-2</v>
      </c>
      <c r="M84" s="16">
        <f>Targets_UW[[#This Row],[CANT (deg)]]-Targets_UW[[#This Row],[HEEL (deg)]]</f>
        <v>4</v>
      </c>
      <c r="N84" s="16"/>
      <c r="O84" s="16">
        <v>0</v>
      </c>
      <c r="P84" s="16">
        <v>2.7</v>
      </c>
      <c r="Q84" s="16">
        <v>-0.3</v>
      </c>
      <c r="R84" s="16">
        <v>-33</v>
      </c>
      <c r="S84" s="16">
        <f>Targets_UW[[#This Row],[CLEW (deg)]]-0.5*Targets_UW[[#This Row],[CA1 (deg)]]</f>
        <v>14.5</v>
      </c>
      <c r="T84" s="16">
        <v>-2</v>
      </c>
      <c r="U84" s="16">
        <v>7</v>
      </c>
      <c r="V84" s="16">
        <v>75</v>
      </c>
      <c r="W84" s="16">
        <v>5.8</v>
      </c>
      <c r="X84" s="16">
        <v>300</v>
      </c>
      <c r="Y84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20.597734625837479</v>
      </c>
      <c r="Z84" s="16">
        <f>DEGREES(ASIN(Targets_UW[[#This Row],[TWS (km/h)]]*SIN(RADIANS(Targets_UW[[#This Row],[TWA (deg)]]+Targets_UW[[#This Row],[LEEWAY (deg)]]))/Targets_UW[[#This Row],[AWS]]))</f>
        <v>19.10192531186442</v>
      </c>
      <c r="AA84" s="16">
        <f>Targets_UW[[#This Row],[AWA+Leeway]]-Targets_UW[[#This Row],[ROT (deg)]]</f>
        <v>4.6019253118644201</v>
      </c>
      <c r="AB84" s="16">
        <f>Targets_UW[[#This Row],[TWS (km/h)]]*(Targets_UW[[#This Row],[Wing]]/10)^0.1</f>
        <v>9.9580838495418504</v>
      </c>
      <c r="AC84" s="16">
        <f>SQRT(Targets_UW[[#This Row],[TWSTop]]^2+Targets_UW[[#This Row],[BSP (km/h)]]^2+2*Targets_UW[[#This Row],[BSP (km/h)]]*Targets_UW[[#This Row],[TWSTop]]*COS(RADIANS(Targets_UW[[#This Row],[TWA (deg)]]+Targets_UW[[#This Row],[LEEWAY (deg)]])))</f>
        <v>21.437605649151685</v>
      </c>
      <c r="AD84" s="16">
        <f>DEGREES(ASIN(Targets_UW[[#This Row],[TWSTop]]*SIN(RADIANS(Targets_UW[[#This Row],[TWA (deg)]]+Targets_UW[[#This Row],[LEEWAY (deg)]]))/Targets_UW[[#This Row],[AWSTop]]))</f>
        <v>20.358982884323392</v>
      </c>
      <c r="AE84" s="16">
        <f>Targets_UW[[#This Row],[AWA+Leeway Top]]-Targets_UW[[#This Row],[ROT (deg)]]</f>
        <v>5.8589828843233924</v>
      </c>
      <c r="AF84" s="16">
        <f>Targets_UW[[#This Row],[CLEW (deg)]]+Targets_UW[[#This Row],[TWIST (deg)]]</f>
        <v>5</v>
      </c>
      <c r="AG84" s="19">
        <f>Targets_UW[[#This Row],[AWA+Leeway Top]]-Targets_UW[[#This Row],[CA6]]</f>
        <v>15.358982884323392</v>
      </c>
      <c r="AH84" s="16">
        <f>Targets_UW[[#This Row],[AWA+Leeway]]-Targets_UW[[#This Row],[JibLead (deg)]]</f>
        <v>13.301925311864419</v>
      </c>
    </row>
    <row r="85" spans="1:34" x14ac:dyDescent="0.25">
      <c r="A85" s="17" t="s">
        <v>38</v>
      </c>
      <c r="B85" s="18" t="s">
        <v>37</v>
      </c>
      <c r="C85" s="18" t="s">
        <v>36</v>
      </c>
      <c r="D85" s="18">
        <v>27.5</v>
      </c>
      <c r="E85" s="18" t="str">
        <f t="shared" si="7"/>
        <v>H2_LAB2_LARW2-27.5m</v>
      </c>
      <c r="F85" s="18">
        <v>10</v>
      </c>
      <c r="G85" s="16">
        <f>ABS(Targets_UW[[#This Row],[BSP (km/h)]]*COS(RADIANS(Targets_UW[[#This Row],[TWA (deg)]]+Targets_UW[[#This Row],[LEEWAY (deg)]])))</f>
        <v>9.812729700197913</v>
      </c>
      <c r="H85" s="16">
        <v>14</v>
      </c>
      <c r="I85" s="16">
        <v>42</v>
      </c>
      <c r="J85" s="16">
        <v>3.5</v>
      </c>
      <c r="K85" s="16">
        <v>1.5</v>
      </c>
      <c r="L85" s="16">
        <v>-2.5</v>
      </c>
      <c r="M85" s="16">
        <f>Targets_UW[[#This Row],[CANT (deg)]]-Targets_UW[[#This Row],[HEEL (deg)]]</f>
        <v>4</v>
      </c>
      <c r="N85" s="16"/>
      <c r="O85" s="16">
        <v>0</v>
      </c>
      <c r="P85" s="16">
        <v>2.7</v>
      </c>
      <c r="Q85" s="16">
        <v>-0.3</v>
      </c>
      <c r="R85" s="16">
        <v>-33</v>
      </c>
      <c r="S85" s="16">
        <f>Targets_UW[[#This Row],[CLEW (deg)]]-0.5*Targets_UW[[#This Row],[CA1 (deg)]]</f>
        <v>14.5</v>
      </c>
      <c r="T85" s="16">
        <v>-2</v>
      </c>
      <c r="U85" s="16">
        <v>6.5</v>
      </c>
      <c r="V85" s="16">
        <v>90</v>
      </c>
      <c r="W85" s="16">
        <v>5.5</v>
      </c>
      <c r="X85" s="16">
        <v>400</v>
      </c>
      <c r="Y85" s="1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22.186811262638852</v>
      </c>
      <c r="Z85" s="16">
        <f>DEGREES(ASIN(Targets_UW[[#This Row],[TWS (km/h)]]*SIN(RADIANS(Targets_UW[[#This Row],[TWA (deg)]]+Targets_UW[[#This Row],[LEEWAY (deg)]]))/Targets_UW[[#This Row],[AWS]]))</f>
        <v>18.752148309493162</v>
      </c>
      <c r="AA85" s="16">
        <f>Targets_UW[[#This Row],[AWA+Leeway]]-Targets_UW[[#This Row],[ROT (deg)]]</f>
        <v>4.2521483094931618</v>
      </c>
      <c r="AB85" s="16">
        <f>Targets_UW[[#This Row],[TWS (km/h)]]*(Targets_UW[[#This Row],[Wing]]/10)^0.1</f>
        <v>11.064537610602056</v>
      </c>
      <c r="AC85" s="16">
        <f>SQRT(Targets_UW[[#This Row],[TWSTop]]^2+Targets_UW[[#This Row],[BSP (km/h)]]^2+2*Targets_UW[[#This Row],[BSP (km/h)]]*Targets_UW[[#This Row],[TWSTop]]*COS(RADIANS(Targets_UW[[#This Row],[TWA (deg)]]+Targets_UW[[#This Row],[LEEWAY (deg)]])))</f>
        <v>23.142398885972273</v>
      </c>
      <c r="AD85" s="16">
        <f>DEGREES(ASIN(Targets_UW[[#This Row],[TWSTop]]*SIN(RADIANS(Targets_UW[[#This Row],[TWA (deg)]]+Targets_UW[[#This Row],[LEEWAY (deg)]]))/Targets_UW[[#This Row],[AWSTop]]))</f>
        <v>19.938412706265819</v>
      </c>
      <c r="AE85" s="16">
        <f>Targets_UW[[#This Row],[AWA+Leeway Top]]-Targets_UW[[#This Row],[ROT (deg)]]</f>
        <v>5.4384127062658187</v>
      </c>
      <c r="AF85" s="16">
        <f>Targets_UW[[#This Row],[CLEW (deg)]]+Targets_UW[[#This Row],[TWIST (deg)]]</f>
        <v>4.5</v>
      </c>
      <c r="AG85" s="19">
        <f>Targets_UW[[#This Row],[AWA+Leeway Top]]-Targets_UW[[#This Row],[CA6]]</f>
        <v>15.438412706265819</v>
      </c>
      <c r="AH85" s="16">
        <f>Targets_UW[[#This Row],[AWA+Leeway]]-Targets_UW[[#This Row],[JibLead (deg)]]</f>
        <v>13.252148309493162</v>
      </c>
    </row>
    <row r="86" spans="1:34" x14ac:dyDescent="0.25">
      <c r="A86" s="20" t="s">
        <v>40</v>
      </c>
      <c r="B86" s="21" t="s">
        <v>37</v>
      </c>
      <c r="C86" s="21" t="s">
        <v>36</v>
      </c>
      <c r="D86" s="21">
        <v>27.5</v>
      </c>
      <c r="E86" s="21" t="str">
        <f t="shared" si="7"/>
        <v>H1-2B_LAB2_LARW2-27.5m</v>
      </c>
      <c r="F86" s="21">
        <v>8</v>
      </c>
      <c r="G86" s="22">
        <f>ABS(Targets_UW[[#This Row],[BSP (km/h)]]*COS(RADIANS(Targets_UW[[#This Row],[TWA (deg)]]+Targets_UW[[#This Row],[LEEWAY (deg)]])))</f>
        <v>7.3186886457410196</v>
      </c>
      <c r="H86" s="22">
        <v>17</v>
      </c>
      <c r="I86" s="22">
        <v>60</v>
      </c>
      <c r="J86" s="22">
        <v>4.5</v>
      </c>
      <c r="K86" s="22">
        <v>0</v>
      </c>
      <c r="L86" s="22">
        <v>-9</v>
      </c>
      <c r="M86" s="22">
        <f>Targets_UW[[#This Row],[CANT (deg)]]-Targets_UW[[#This Row],[HEEL (deg)]]</f>
        <v>9</v>
      </c>
      <c r="N86" s="22"/>
      <c r="O86" s="22">
        <v>0</v>
      </c>
      <c r="P86" s="22">
        <v>3.3</v>
      </c>
      <c r="Q86" s="22">
        <v>-0.5</v>
      </c>
      <c r="R86" s="22">
        <v>-33</v>
      </c>
      <c r="S86" s="22">
        <f>Targets_UW[[#This Row],[CLEW (deg)]]-0.5*Targets_UW[[#This Row],[CA1 (deg)]]</f>
        <v>12.5</v>
      </c>
      <c r="T86" s="22">
        <v>-4</v>
      </c>
      <c r="U86" s="22">
        <v>6.5</v>
      </c>
      <c r="V86" s="22">
        <v>70</v>
      </c>
      <c r="W86" s="22">
        <v>5.5</v>
      </c>
      <c r="X86" s="22">
        <v>290</v>
      </c>
      <c r="Y86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21.681766955943797</v>
      </c>
      <c r="Z86" s="22">
        <f>DEGREES(ASIN(Targets_UW[[#This Row],[TWS (km/h)]]*SIN(RADIANS(Targets_UW[[#This Row],[TWA (deg)]]+Targets_UW[[#This Row],[LEEWAY (deg)]]))/Targets_UW[[#This Row],[AWS]]))</f>
        <v>19.452797305971092</v>
      </c>
      <c r="AA86" s="22">
        <f>Targets_UW[[#This Row],[AWA+Leeway]]-Targets_UW[[#This Row],[ROT (deg)]]</f>
        <v>6.9527973059710924</v>
      </c>
      <c r="AB86" s="22">
        <f>Targets_UW[[#This Row],[TWS (km/h)]]*(Targets_UW[[#This Row],[Wing]]/10)^0.1</f>
        <v>8.8516300884816452</v>
      </c>
      <c r="AC86" s="22">
        <f>SQRT(Targets_UW[[#This Row],[TWSTop]]^2+Targets_UW[[#This Row],[BSP (km/h)]]^2+2*Targets_UW[[#This Row],[BSP (km/h)]]*Targets_UW[[#This Row],[TWSTop]]*COS(RADIANS(Targets_UW[[#This Row],[TWA (deg)]]+Targets_UW[[#This Row],[LEEWAY (deg)]])))</f>
        <v>22.291612872850944</v>
      </c>
      <c r="AD86" s="22">
        <f>DEGREES(ASIN(Targets_UW[[#This Row],[TWSTop]]*SIN(RADIANS(Targets_UW[[#This Row],[TWA (deg)]]+Targets_UW[[#This Row],[LEEWAY (deg)]]))/Targets_UW[[#This Row],[AWSTop]]))</f>
        <v>21.002068902647203</v>
      </c>
      <c r="AE86" s="22">
        <f>Targets_UW[[#This Row],[AWA+Leeway Top]]-Targets_UW[[#This Row],[ROT (deg)]]</f>
        <v>8.5020689026472027</v>
      </c>
      <c r="AF86" s="22">
        <f>Targets_UW[[#This Row],[CLEW (deg)]]+Targets_UW[[#This Row],[TWIST (deg)]]</f>
        <v>2.5</v>
      </c>
      <c r="AG86" s="23">
        <f>Targets_UW[[#This Row],[AWA+Leeway Top]]-Targets_UW[[#This Row],[CA6]]</f>
        <v>18.502068902647203</v>
      </c>
      <c r="AH86" s="22">
        <f>Targets_UW[[#This Row],[AWA+Leeway]]-Targets_UW[[#This Row],[JibLead (deg)]]</f>
        <v>13.952797305971092</v>
      </c>
    </row>
    <row r="87" spans="1:34" x14ac:dyDescent="0.25">
      <c r="A87" s="20" t="s">
        <v>40</v>
      </c>
      <c r="B87" s="21" t="s">
        <v>37</v>
      </c>
      <c r="C87" s="21" t="s">
        <v>36</v>
      </c>
      <c r="D87" s="21">
        <v>27.5</v>
      </c>
      <c r="E87" s="21" t="str">
        <f t="shared" si="7"/>
        <v>H1-2B_LAB2_LARW2-27.5m</v>
      </c>
      <c r="F87" s="21">
        <v>9</v>
      </c>
      <c r="G87" s="22">
        <f>ABS(Targets_UW[[#This Row],[BSP (km/h)]]*COS(RADIANS(Targets_UW[[#This Row],[TWA (deg)]]+Targets_UW[[#This Row],[LEEWAY (deg)]])))</f>
        <v>8.6281521703319708</v>
      </c>
      <c r="H87" s="22">
        <v>17</v>
      </c>
      <c r="I87" s="22">
        <v>55</v>
      </c>
      <c r="J87" s="22">
        <v>4.5</v>
      </c>
      <c r="K87" s="22">
        <v>0</v>
      </c>
      <c r="L87" s="22">
        <v>-9</v>
      </c>
      <c r="M87" s="22">
        <f>Targets_UW[[#This Row],[CANT (deg)]]-Targets_UW[[#This Row],[HEEL (deg)]]</f>
        <v>9</v>
      </c>
      <c r="N87" s="22"/>
      <c r="O87" s="22">
        <v>0</v>
      </c>
      <c r="P87" s="22">
        <v>3.3</v>
      </c>
      <c r="Q87" s="22">
        <v>-0.5</v>
      </c>
      <c r="R87" s="22">
        <v>-33</v>
      </c>
      <c r="S87" s="22">
        <f>Targets_UW[[#This Row],[CLEW (deg)]]-0.5*Targets_UW[[#This Row],[CA1 (deg)]]</f>
        <v>12.5</v>
      </c>
      <c r="T87" s="22">
        <v>-4</v>
      </c>
      <c r="U87" s="22">
        <v>6.8</v>
      </c>
      <c r="V87" s="22">
        <v>90</v>
      </c>
      <c r="W87" s="22">
        <v>5.8</v>
      </c>
      <c r="X87" s="22">
        <v>400</v>
      </c>
      <c r="Y87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22.91957109253957</v>
      </c>
      <c r="Z87" s="22">
        <f>DEGREES(ASIN(Targets_UW[[#This Row],[TWS (km/h)]]*SIN(RADIANS(Targets_UW[[#This Row],[TWA (deg)]]+Targets_UW[[#This Row],[LEEWAY (deg)]]))/Targets_UW[[#This Row],[AWS]]))</f>
        <v>19.775915606326496</v>
      </c>
      <c r="AA87" s="22">
        <f>Targets_UW[[#This Row],[AWA+Leeway]]-Targets_UW[[#This Row],[ROT (deg)]]</f>
        <v>7.275915606326496</v>
      </c>
      <c r="AB87" s="22">
        <f>Targets_UW[[#This Row],[TWS (km/h)]]*(Targets_UW[[#This Row],[Wing]]/10)^0.1</f>
        <v>9.9580838495418504</v>
      </c>
      <c r="AC87" s="22">
        <f>SQRT(Targets_UW[[#This Row],[TWSTop]]^2+Targets_UW[[#This Row],[BSP (km/h)]]^2+2*Targets_UW[[#This Row],[BSP (km/h)]]*Targets_UW[[#This Row],[TWSTop]]*COS(RADIANS(Targets_UW[[#This Row],[TWA (deg)]]+Targets_UW[[#This Row],[LEEWAY (deg)]])))</f>
        <v>23.664385889180618</v>
      </c>
      <c r="AD87" s="22">
        <f>DEGREES(ASIN(Targets_UW[[#This Row],[TWSTop]]*SIN(RADIANS(Targets_UW[[#This Row],[TWA (deg)]]+Targets_UW[[#This Row],[LEEWAY (deg)]]))/Targets_UW[[#This Row],[AWSTop]]))</f>
        <v>21.258577780084451</v>
      </c>
      <c r="AE87" s="22">
        <f>Targets_UW[[#This Row],[AWA+Leeway Top]]-Targets_UW[[#This Row],[ROT (deg)]]</f>
        <v>8.7585777800844511</v>
      </c>
      <c r="AF87" s="22">
        <f>Targets_UW[[#This Row],[CLEW (deg)]]+Targets_UW[[#This Row],[TWIST (deg)]]</f>
        <v>2.8</v>
      </c>
      <c r="AG87" s="23">
        <f>Targets_UW[[#This Row],[AWA+Leeway Top]]-Targets_UW[[#This Row],[CA6]]</f>
        <v>18.45857778008445</v>
      </c>
      <c r="AH87" s="22">
        <f>Targets_UW[[#This Row],[AWA+Leeway]]-Targets_UW[[#This Row],[JibLead (deg)]]</f>
        <v>13.975915606326495</v>
      </c>
    </row>
    <row r="88" spans="1:34" x14ac:dyDescent="0.25">
      <c r="A88" s="20" t="s">
        <v>40</v>
      </c>
      <c r="B88" s="21" t="s">
        <v>37</v>
      </c>
      <c r="C88" s="21" t="s">
        <v>36</v>
      </c>
      <c r="D88" s="21">
        <v>27.5</v>
      </c>
      <c r="E88" s="21" t="str">
        <f t="shared" si="7"/>
        <v>H1-2B_LAB2_LARW2-27.5m</v>
      </c>
      <c r="F88" s="21">
        <v>10</v>
      </c>
      <c r="G88" s="22">
        <f>ABS(Targets_UW[[#This Row],[BSP (km/h)]]*COS(RADIANS(Targets_UW[[#This Row],[TWA (deg)]]+Targets_UW[[#This Row],[LEEWAY (deg)]])))</f>
        <v>9.6289060277221576</v>
      </c>
      <c r="H88" s="22">
        <v>17</v>
      </c>
      <c r="I88" s="22">
        <v>51</v>
      </c>
      <c r="J88" s="22">
        <v>4.5</v>
      </c>
      <c r="K88" s="22">
        <v>0</v>
      </c>
      <c r="L88" s="22">
        <v>-9</v>
      </c>
      <c r="M88" s="22">
        <f>Targets_UW[[#This Row],[CANT (deg)]]-Targets_UW[[#This Row],[HEEL (deg)]]</f>
        <v>9</v>
      </c>
      <c r="N88" s="22"/>
      <c r="O88" s="22">
        <v>0</v>
      </c>
      <c r="P88" s="22">
        <v>3.3</v>
      </c>
      <c r="Q88" s="22">
        <v>-0.5</v>
      </c>
      <c r="R88" s="22">
        <v>-33</v>
      </c>
      <c r="S88" s="22">
        <f>Targets_UW[[#This Row],[CLEW (deg)]]-0.5*Targets_UW[[#This Row],[CA1 (deg)]]</f>
        <v>12.5</v>
      </c>
      <c r="T88" s="22">
        <v>-4</v>
      </c>
      <c r="U88" s="22">
        <v>6.9</v>
      </c>
      <c r="V88" s="22">
        <v>100</v>
      </c>
      <c r="W88" s="22">
        <v>6</v>
      </c>
      <c r="X88" s="22">
        <v>475</v>
      </c>
      <c r="Y88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24.115930845697065</v>
      </c>
      <c r="Z88" s="22">
        <f>DEGREES(ASIN(Targets_UW[[#This Row],[TWS (km/h)]]*SIN(RADIANS(Targets_UW[[#This Row],[TWA (deg)]]+Targets_UW[[#This Row],[LEEWAY (deg)]]))/Targets_UW[[#This Row],[AWS]]))</f>
        <v>19.982625711760587</v>
      </c>
      <c r="AA88" s="22">
        <f>Targets_UW[[#This Row],[AWA+Leeway]]-Targets_UW[[#This Row],[ROT (deg)]]</f>
        <v>7.482625711760587</v>
      </c>
      <c r="AB88" s="22">
        <f>Targets_UW[[#This Row],[TWS (km/h)]]*(Targets_UW[[#This Row],[Wing]]/10)^0.1</f>
        <v>11.064537610602056</v>
      </c>
      <c r="AC88" s="22">
        <f>SQRT(Targets_UW[[#This Row],[TWSTop]]^2+Targets_UW[[#This Row],[BSP (km/h)]]^2+2*Targets_UW[[#This Row],[BSP (km/h)]]*Targets_UW[[#This Row],[TWSTop]]*COS(RADIANS(Targets_UW[[#This Row],[TWA (deg)]]+Targets_UW[[#This Row],[LEEWAY (deg)]])))</f>
        <v>24.990053587813627</v>
      </c>
      <c r="AD88" s="22">
        <f>DEGREES(ASIN(Targets_UW[[#This Row],[TWSTop]]*SIN(RADIANS(Targets_UW[[#This Row],[TWA (deg)]]+Targets_UW[[#This Row],[LEEWAY (deg)]]))/Targets_UW[[#This Row],[AWSTop]]))</f>
        <v>21.400701367563716</v>
      </c>
      <c r="AE88" s="22">
        <f>Targets_UW[[#This Row],[AWA+Leeway Top]]-Targets_UW[[#This Row],[ROT (deg)]]</f>
        <v>8.9007013675637161</v>
      </c>
      <c r="AF88" s="22">
        <f>Targets_UW[[#This Row],[CLEW (deg)]]+Targets_UW[[#This Row],[TWIST (deg)]]</f>
        <v>2.9000000000000004</v>
      </c>
      <c r="AG88" s="23">
        <f>Targets_UW[[#This Row],[AWA+Leeway Top]]-Targets_UW[[#This Row],[CA6]]</f>
        <v>18.500701367563714</v>
      </c>
      <c r="AH88" s="22">
        <f>Targets_UW[[#This Row],[AWA+Leeway]]-Targets_UW[[#This Row],[JibLead (deg)]]</f>
        <v>13.982625711760587</v>
      </c>
    </row>
    <row r="89" spans="1:34" x14ac:dyDescent="0.25">
      <c r="A89" s="20" t="s">
        <v>40</v>
      </c>
      <c r="B89" s="21" t="s">
        <v>37</v>
      </c>
      <c r="C89" s="21" t="s">
        <v>36</v>
      </c>
      <c r="D89" s="21">
        <v>27.5</v>
      </c>
      <c r="E89" s="21" t="str">
        <f t="shared" si="7"/>
        <v>H1-2B_LAB2_LARW2-27.5m</v>
      </c>
      <c r="F89" s="21">
        <v>11</v>
      </c>
      <c r="G89" s="22">
        <f>ABS(Targets_UW[[#This Row],[BSP (km/h)]]*COS(RADIANS(Targets_UW[[#This Row],[TWA (deg)]]+Targets_UW[[#This Row],[LEEWAY (deg)]])))</f>
        <v>10.348944293148252</v>
      </c>
      <c r="H89" s="22">
        <v>17</v>
      </c>
      <c r="I89" s="22">
        <v>48</v>
      </c>
      <c r="J89" s="22">
        <v>4.5</v>
      </c>
      <c r="K89" s="22">
        <v>0</v>
      </c>
      <c r="L89" s="22">
        <v>-9</v>
      </c>
      <c r="M89" s="22">
        <f>Targets_UW[[#This Row],[CANT (deg)]]-Targets_UW[[#This Row],[HEEL (deg)]]</f>
        <v>9</v>
      </c>
      <c r="N89" s="22"/>
      <c r="O89" s="22">
        <v>0</v>
      </c>
      <c r="P89" s="22">
        <v>3.3</v>
      </c>
      <c r="Q89" s="22">
        <v>-0.5</v>
      </c>
      <c r="R89" s="22">
        <v>-33</v>
      </c>
      <c r="S89" s="22">
        <f>Targets_UW[[#This Row],[CLEW (deg)]]-0.5*Targets_UW[[#This Row],[CA1 (deg)]]</f>
        <v>12.5</v>
      </c>
      <c r="T89" s="22">
        <v>-4</v>
      </c>
      <c r="U89" s="22">
        <v>7.1</v>
      </c>
      <c r="V89" s="22">
        <v>110</v>
      </c>
      <c r="W89" s="22">
        <v>6.2</v>
      </c>
      <c r="X89" s="22">
        <v>530</v>
      </c>
      <c r="Y89" s="22">
        <f>SQRT(Targets_UW[[#This Row],[TWS (km/h)]]^2+Targets_UW[[#This Row],[BSP (km/h)]]^2+2*Targets_UW[[#This Row],[TWS (km/h)]]*Targets_UW[[#This Row],[BSP (km/h)]]*COS(RADIANS(Targets_UW[[#This Row],[TWA (deg)]]+Targets_UW[[#This Row],[LEEWAY (deg)]])))</f>
        <v>25.252262758993727</v>
      </c>
      <c r="Z89" s="22">
        <f>DEGREES(ASIN(Targets_UW[[#This Row],[TWS (km/h)]]*SIN(RADIANS(Targets_UW[[#This Row],[TWA (deg)]]+Targets_UW[[#This Row],[LEEWAY (deg)]]))/Targets_UW[[#This Row],[AWS]]))</f>
        <v>20.217712362660897</v>
      </c>
      <c r="AA89" s="22">
        <f>Targets_UW[[#This Row],[AWA+Leeway]]-Targets_UW[[#This Row],[ROT (deg)]]</f>
        <v>7.7177123626608974</v>
      </c>
      <c r="AB89" s="22">
        <f>Targets_UW[[#This Row],[TWS (km/h)]]*(Targets_UW[[#This Row],[Wing]]/10)^0.1</f>
        <v>12.170991371662263</v>
      </c>
      <c r="AC89" s="22">
        <f>SQRT(Targets_UW[[#This Row],[TWSTop]]^2+Targets_UW[[#This Row],[BSP (km/h)]]^2+2*Targets_UW[[#This Row],[BSP (km/h)]]*Targets_UW[[#This Row],[TWSTop]]*COS(RADIANS(Targets_UW[[#This Row],[TWA (deg)]]+Targets_UW[[#This Row],[LEEWAY (deg)]])))</f>
        <v>26.249701986203934</v>
      </c>
      <c r="AD89" s="22">
        <f>DEGREES(ASIN(Targets_UW[[#This Row],[TWSTop]]*SIN(RADIANS(Targets_UW[[#This Row],[TWA (deg)]]+Targets_UW[[#This Row],[LEEWAY (deg)]]))/Targets_UW[[#This Row],[AWSTop]]))</f>
        <v>21.582950223922602</v>
      </c>
      <c r="AE89" s="22">
        <f>Targets_UW[[#This Row],[AWA+Leeway Top]]-Targets_UW[[#This Row],[ROT (deg)]]</f>
        <v>9.0829502239226017</v>
      </c>
      <c r="AF89" s="22">
        <f>Targets_UW[[#This Row],[CLEW (deg)]]+Targets_UW[[#This Row],[TWIST (deg)]]</f>
        <v>3.0999999999999996</v>
      </c>
      <c r="AG89" s="23">
        <f>Targets_UW[[#This Row],[AWA+Leeway Top]]-Targets_UW[[#This Row],[CA6]]</f>
        <v>18.4829502239226</v>
      </c>
      <c r="AH89" s="22">
        <f>Targets_UW[[#This Row],[AWA+Leeway]]-Targets_UW[[#This Row],[JibLead (deg)]]</f>
        <v>14.017712362660898</v>
      </c>
    </row>
    <row r="90" spans="1:34" x14ac:dyDescent="0.25">
      <c r="A90" s="24" t="s">
        <v>41</v>
      </c>
      <c r="B90" s="25" t="s">
        <v>37</v>
      </c>
      <c r="C90" s="25" t="s">
        <v>36</v>
      </c>
      <c r="D90" s="25">
        <v>27.5</v>
      </c>
      <c r="E90" s="25" t="str">
        <f t="shared" si="7"/>
        <v>H1_LAB2_LARW2-27.5m</v>
      </c>
      <c r="F90" s="25">
        <v>10</v>
      </c>
      <c r="G90" s="26">
        <f>ABS(Targets_UW[[#This Row],[BSP (km/h)]]*COS(RADIANS(Targets_UW[[#This Row],[TWA (deg)]]+Targets_UW[[#This Row],[LEEWAY (deg)]])))</f>
        <v>10.345068714208816</v>
      </c>
      <c r="H90" s="26">
        <v>18.5</v>
      </c>
      <c r="I90" s="26">
        <v>53</v>
      </c>
      <c r="J90" s="26">
        <v>3</v>
      </c>
      <c r="K90" s="26">
        <v>0</v>
      </c>
      <c r="L90" s="26">
        <v>-10</v>
      </c>
      <c r="M90" s="26">
        <f>Targets_UW[[#This Row],[CANT (deg)]]-Targets_UW[[#This Row],[HEEL (deg)]]</f>
        <v>10</v>
      </c>
      <c r="N90" s="26"/>
      <c r="O90" s="26">
        <v>0</v>
      </c>
      <c r="P90" s="26">
        <v>2.8</v>
      </c>
      <c r="Q90" s="26">
        <v>-0.8</v>
      </c>
      <c r="R90" s="26">
        <v>-34</v>
      </c>
      <c r="S90" s="26">
        <f>Targets_UW[[#This Row],[CLEW (deg)]]-0.5*Targets_UW[[#This Row],[CA1 (deg)]]</f>
        <v>13</v>
      </c>
      <c r="T90" s="26">
        <v>-4</v>
      </c>
      <c r="U90" s="26">
        <v>6</v>
      </c>
      <c r="V90" s="26">
        <v>110</v>
      </c>
      <c r="W90" s="26">
        <v>5.7</v>
      </c>
      <c r="X90" s="26">
        <v>530</v>
      </c>
      <c r="Y90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25.478449212700845</v>
      </c>
      <c r="Z90" s="26">
        <f>DEGREES(ASIN(Targets_UW[[#This Row],[TWS (km/h)]]*SIN(RADIANS(Targets_UW[[#This Row],[TWA (deg)]]+Targets_UW[[#This Row],[LEEWAY (deg)]]))/Targets_UW[[#This Row],[AWS]]))</f>
        <v>18.989069454292864</v>
      </c>
      <c r="AA90" s="26">
        <f>Targets_UW[[#This Row],[AWA+Leeway]]-Targets_UW[[#This Row],[ROT (deg)]]</f>
        <v>5.9890694542928635</v>
      </c>
      <c r="AB90" s="26">
        <f>Targets_UW[[#This Row],[TWS (km/h)]]*(Targets_UW[[#This Row],[Wing]]/10)^0.1</f>
        <v>11.064537610602056</v>
      </c>
      <c r="AC90" s="26">
        <f>SQRT(Targets_UW[[#This Row],[TWSTop]]^2+Targets_UW[[#This Row],[BSP (km/h)]]^2+2*Targets_UW[[#This Row],[BSP (km/h)]]*Targets_UW[[#This Row],[TWSTop]]*COS(RADIANS(Targets_UW[[#This Row],[TWA (deg)]]+Targets_UW[[#This Row],[LEEWAY (deg)]])))</f>
        <v>26.336301871782979</v>
      </c>
      <c r="AD90" s="26">
        <f>DEGREES(ASIN(Targets_UW[[#This Row],[TWSTop]]*SIN(RADIANS(Targets_UW[[#This Row],[TWA (deg)]]+Targets_UW[[#This Row],[LEEWAY (deg)]]))/Targets_UW[[#This Row],[AWSTop]]))</f>
        <v>20.383332335658139</v>
      </c>
      <c r="AE90" s="26">
        <f>Targets_UW[[#This Row],[AWA+Leeway Top]]-Targets_UW[[#This Row],[ROT (deg)]]</f>
        <v>7.3833323356581388</v>
      </c>
      <c r="AF90" s="26">
        <f>Targets_UW[[#This Row],[CLEW (deg)]]+Targets_UW[[#This Row],[TWIST (deg)]]</f>
        <v>2</v>
      </c>
      <c r="AG90" s="27">
        <f>Targets_UW[[#This Row],[AWA+Leeway Top]]-Targets_UW[[#This Row],[CA6]]</f>
        <v>18.383332335658139</v>
      </c>
      <c r="AH90" s="26">
        <f>Targets_UW[[#This Row],[AWA+Leeway]]-Targets_UW[[#This Row],[JibLead (deg)]]</f>
        <v>13.289069454292864</v>
      </c>
    </row>
    <row r="91" spans="1:34" x14ac:dyDescent="0.25">
      <c r="A91" s="24" t="s">
        <v>41</v>
      </c>
      <c r="B91" s="25" t="s">
        <v>37</v>
      </c>
      <c r="C91" s="25" t="s">
        <v>36</v>
      </c>
      <c r="D91" s="25">
        <v>27.5</v>
      </c>
      <c r="E91" s="25" t="str">
        <f t="shared" si="7"/>
        <v>H1_LAB2_LARW2-27.5m</v>
      </c>
      <c r="F91" s="25">
        <v>11</v>
      </c>
      <c r="G91" s="26">
        <f>ABS(Targets_UW[[#This Row],[BSP (km/h)]]*COS(RADIANS(Targets_UW[[#This Row],[TWA (deg)]]+Targets_UW[[#This Row],[LEEWAY (deg)]])))</f>
        <v>11.301632948275486</v>
      </c>
      <c r="H91" s="26">
        <v>19</v>
      </c>
      <c r="I91" s="26">
        <v>50.5</v>
      </c>
      <c r="J91" s="26">
        <v>3</v>
      </c>
      <c r="K91" s="26">
        <v>2</v>
      </c>
      <c r="L91" s="26">
        <v>-10</v>
      </c>
      <c r="M91" s="26">
        <f>Targets_UW[[#This Row],[CANT (deg)]]-Targets_UW[[#This Row],[HEEL (deg)]]</f>
        <v>12</v>
      </c>
      <c r="N91" s="26"/>
      <c r="O91" s="26">
        <v>0</v>
      </c>
      <c r="P91" s="26">
        <v>2.8</v>
      </c>
      <c r="Q91" s="26">
        <v>-0.8</v>
      </c>
      <c r="R91" s="26">
        <v>-34</v>
      </c>
      <c r="S91" s="26">
        <f>Targets_UW[[#This Row],[CLEW (deg)]]-0.5*Targets_UW[[#This Row],[CA1 (deg)]]</f>
        <v>13</v>
      </c>
      <c r="T91" s="26">
        <v>-4</v>
      </c>
      <c r="U91" s="26">
        <v>9</v>
      </c>
      <c r="V91" s="26">
        <v>125</v>
      </c>
      <c r="W91" s="26">
        <v>5.8</v>
      </c>
      <c r="X91" s="26">
        <v>600</v>
      </c>
      <c r="Y91" s="26">
        <f>SQRT(Targets_UW[[#This Row],[TWS (km/h)]]^2+Targets_UW[[#This Row],[BSP (km/h)]]^2+2*Targets_UW[[#This Row],[TWS (km/h)]]*Targets_UW[[#This Row],[BSP (km/h)]]*COS(RADIANS(Targets_UW[[#This Row],[TWA (deg)]]+Targets_UW[[#This Row],[LEEWAY (deg)]])))</f>
        <v>27.030277927947036</v>
      </c>
      <c r="Z91" s="26">
        <f>DEGREES(ASIN(Targets_UW[[#This Row],[TWS (km/h)]]*SIN(RADIANS(Targets_UW[[#This Row],[TWA (deg)]]+Targets_UW[[#This Row],[LEEWAY (deg)]]))/Targets_UW[[#This Row],[AWS]]))</f>
        <v>19.094694327733539</v>
      </c>
      <c r="AA91" s="26">
        <f>Targets_UW[[#This Row],[AWA+Leeway]]-Targets_UW[[#This Row],[ROT (deg)]]</f>
        <v>6.0946943277335386</v>
      </c>
      <c r="AB91" s="26">
        <f>Targets_UW[[#This Row],[TWS (km/h)]]*(Targets_UW[[#This Row],[Wing]]/10)^0.1</f>
        <v>12.170991371662263</v>
      </c>
      <c r="AC91" s="26">
        <f>SQRT(Targets_UW[[#This Row],[TWSTop]]^2+Targets_UW[[#This Row],[BSP (km/h)]]^2+2*Targets_UW[[#This Row],[BSP (km/h)]]*Targets_UW[[#This Row],[TWSTop]]*COS(RADIANS(Targets_UW[[#This Row],[TWA (deg)]]+Targets_UW[[#This Row],[LEEWAY (deg)]])))</f>
        <v>28.004235129126219</v>
      </c>
      <c r="AD91" s="26">
        <f>DEGREES(ASIN(Targets_UW[[#This Row],[TWSTop]]*SIN(RADIANS(Targets_UW[[#This Row],[TWA (deg)]]+Targets_UW[[#This Row],[LEEWAY (deg)]]))/Targets_UW[[#This Row],[AWSTop]]))</f>
        <v>20.448557702583201</v>
      </c>
      <c r="AE91" s="26">
        <f>Targets_UW[[#This Row],[AWA+Leeway Top]]-Targets_UW[[#This Row],[ROT (deg)]]</f>
        <v>7.4485577025832015</v>
      </c>
      <c r="AF91" s="26">
        <f>Targets_UW[[#This Row],[CLEW (deg)]]+Targets_UW[[#This Row],[TWIST (deg)]]</f>
        <v>5</v>
      </c>
      <c r="AG91" s="27">
        <f>Targets_UW[[#This Row],[AWA+Leeway Top]]-Targets_UW[[#This Row],[CA6]]</f>
        <v>15.448557702583201</v>
      </c>
      <c r="AH91" s="26">
        <f>Targets_UW[[#This Row],[AWA+Leeway]]-Targets_UW[[#This Row],[JibLead (deg)]]</f>
        <v>13.294694327733538</v>
      </c>
    </row>
    <row r="92" spans="1:34" ht="15.75" thickBot="1" x14ac:dyDescent="0.3">
      <c r="A92" s="28" t="s">
        <v>41</v>
      </c>
      <c r="B92" s="29" t="s">
        <v>37</v>
      </c>
      <c r="C92" s="29" t="s">
        <v>36</v>
      </c>
      <c r="D92" s="29">
        <v>27.5</v>
      </c>
      <c r="E92" s="29" t="str">
        <f t="shared" si="7"/>
        <v>H1_LAB2_LARW2-27.5m</v>
      </c>
      <c r="F92" s="29">
        <v>12</v>
      </c>
      <c r="G92" s="30">
        <f>ABS(Targets_UW[[#This Row],[BSP (km/h)]]*COS(RADIANS(Targets_UW[[#This Row],[TWA (deg)]]+Targets_UW[[#This Row],[LEEWAY (deg)]])))</f>
        <v>12.175228580174412</v>
      </c>
      <c r="H92" s="30">
        <v>20</v>
      </c>
      <c r="I92" s="30">
        <v>49.5</v>
      </c>
      <c r="J92" s="30">
        <v>3</v>
      </c>
      <c r="K92" s="30">
        <v>4</v>
      </c>
      <c r="L92" s="30">
        <v>-10</v>
      </c>
      <c r="M92" s="30">
        <f>Targets_UW[[#This Row],[CANT (deg)]]-Targets_UW[[#This Row],[HEEL (deg)]]</f>
        <v>14</v>
      </c>
      <c r="N92" s="30"/>
      <c r="O92" s="30">
        <v>0</v>
      </c>
      <c r="P92" s="30">
        <v>2.8</v>
      </c>
      <c r="Q92" s="30">
        <v>-0.8</v>
      </c>
      <c r="R92" s="30">
        <v>-34</v>
      </c>
      <c r="S92" s="30">
        <f>Targets_UW[[#This Row],[CLEW (deg)]]-0.5*Targets_UW[[#This Row],[CA1 (deg)]]</f>
        <v>13</v>
      </c>
      <c r="T92" s="30">
        <v>-4</v>
      </c>
      <c r="U92" s="30">
        <v>11</v>
      </c>
      <c r="V92" s="30">
        <v>140</v>
      </c>
      <c r="W92" s="30">
        <v>5.9</v>
      </c>
      <c r="X92" s="30">
        <v>650</v>
      </c>
      <c r="Y92" s="30">
        <f>SQRT(Targets_UW[[#This Row],[TWS (km/h)]]^2+Targets_UW[[#This Row],[BSP (km/h)]]^2+2*Targets_UW[[#This Row],[TWS (km/h)]]*Targets_UW[[#This Row],[BSP (km/h)]]*COS(RADIANS(Targets_UW[[#This Row],[TWA (deg)]]+Targets_UW[[#This Row],[LEEWAY (deg)]])))</f>
        <v>28.917217810919951</v>
      </c>
      <c r="Z92" s="30">
        <f>DEGREES(ASIN(Targets_UW[[#This Row],[TWS (km/h)]]*SIN(RADIANS(Targets_UW[[#This Row],[TWA (deg)]]+Targets_UW[[#This Row],[LEEWAY (deg)]]))/Targets_UW[[#This Row],[AWS]]))</f>
        <v>19.221677961424501</v>
      </c>
      <c r="AA92" s="30">
        <f>Targets_UW[[#This Row],[AWA+Leeway]]-Targets_UW[[#This Row],[ROT (deg)]]</f>
        <v>6.2216779614245006</v>
      </c>
      <c r="AB92" s="30">
        <f>Targets_UW[[#This Row],[TWS (km/h)]]*(Targets_UW[[#This Row],[Wing]]/10)^0.1</f>
        <v>13.277445132722468</v>
      </c>
      <c r="AC92" s="30">
        <f>SQRT(Targets_UW[[#This Row],[TWSTop]]^2+Targets_UW[[#This Row],[BSP (km/h)]]^2+2*Targets_UW[[#This Row],[BSP (km/h)]]*Targets_UW[[#This Row],[TWSTop]]*COS(RADIANS(Targets_UW[[#This Row],[TWA (deg)]]+Targets_UW[[#This Row],[LEEWAY (deg)]])))</f>
        <v>29.993372737251409</v>
      </c>
      <c r="AD92" s="30">
        <f>DEGREES(ASIN(Targets_UW[[#This Row],[TWSTop]]*SIN(RADIANS(Targets_UW[[#This Row],[TWA (deg)]]+Targets_UW[[#This Row],[LEEWAY (deg)]]))/Targets_UW[[#This Row],[AWSTop]]))</f>
        <v>20.560797255772396</v>
      </c>
      <c r="AE92" s="30">
        <f>Targets_UW[[#This Row],[AWA+Leeway Top]]-Targets_UW[[#This Row],[ROT (deg)]]</f>
        <v>7.5607972557723961</v>
      </c>
      <c r="AF92" s="30">
        <f>Targets_UW[[#This Row],[CLEW (deg)]]+Targets_UW[[#This Row],[TWIST (deg)]]</f>
        <v>7</v>
      </c>
      <c r="AG92" s="31">
        <f>Targets_UW[[#This Row],[AWA+Leeway Top]]-Targets_UW[[#This Row],[CA6]]</f>
        <v>13.560797255772396</v>
      </c>
      <c r="AH92" s="26">
        <f>Targets_UW[[#This Row],[AWA+Leeway]]-Targets_UW[[#This Row],[JibLead (deg)]]</f>
        <v>13.3216779614245</v>
      </c>
    </row>
    <row r="103" spans="8:8" x14ac:dyDescent="0.25">
      <c r="H103" t="s">
        <v>61</v>
      </c>
    </row>
  </sheetData>
  <phoneticPr fontId="1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02C1-27E4-479E-B3DF-DFFC579AB439}">
  <sheetPr codeName="Sheet2"/>
  <dimension ref="A1:AH83"/>
  <sheetViews>
    <sheetView tabSelected="1" zoomScale="76" zoomScaleNormal="100" workbookViewId="0">
      <selection activeCell="I117" sqref="I117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10.42578125" bestFit="1" customWidth="1"/>
    <col min="4" max="4" width="8.28515625" bestFit="1" customWidth="1"/>
    <col min="5" max="5" width="25" bestFit="1" customWidth="1"/>
    <col min="6" max="6" width="13.5703125" bestFit="1" customWidth="1"/>
    <col min="7" max="7" width="13.85546875" bestFit="1" customWidth="1"/>
    <col min="8" max="8" width="13.28515625" bestFit="1" customWidth="1"/>
    <col min="9" max="9" width="12.28515625" bestFit="1" customWidth="1"/>
    <col min="10" max="10" width="15.7109375" bestFit="1" customWidth="1"/>
    <col min="11" max="11" width="13.28515625" bestFit="1" customWidth="1"/>
    <col min="12" max="12" width="13" bestFit="1" customWidth="1"/>
    <col min="13" max="13" width="16.5703125" bestFit="1" customWidth="1"/>
    <col min="14" max="14" width="14.140625" bestFit="1" customWidth="1"/>
    <col min="15" max="16" width="12.28515625" bestFit="1" customWidth="1"/>
    <col min="17" max="17" width="13.85546875" bestFit="1" customWidth="1"/>
    <col min="18" max="18" width="12.28515625" bestFit="1" customWidth="1"/>
    <col min="19" max="19" width="12.140625" bestFit="1" customWidth="1"/>
    <col min="20" max="20" width="13.5703125" bestFit="1" customWidth="1"/>
    <col min="21" max="21" width="13.85546875" bestFit="1" customWidth="1"/>
    <col min="22" max="22" width="14.42578125" bestFit="1" customWidth="1"/>
    <col min="23" max="23" width="15.140625" bestFit="1" customWidth="1"/>
    <col min="24" max="24" width="15.5703125" bestFit="1" customWidth="1"/>
    <col min="25" max="25" width="8" bestFit="1" customWidth="1"/>
    <col min="26" max="26" width="15.28515625" bestFit="1" customWidth="1"/>
    <col min="27" max="27" width="10.7109375" bestFit="1" customWidth="1"/>
    <col min="28" max="28" width="11" bestFit="1" customWidth="1"/>
    <col min="29" max="29" width="11.140625" bestFit="1" customWidth="1"/>
    <col min="30" max="30" width="19" bestFit="1" customWidth="1"/>
    <col min="31" max="31" width="13.85546875" bestFit="1" customWidth="1"/>
    <col min="32" max="32" width="7.7109375" bestFit="1" customWidth="1"/>
    <col min="33" max="33" width="15.7109375" bestFit="1" customWidth="1"/>
    <col min="34" max="34" width="15" bestFit="1" customWidth="1"/>
  </cols>
  <sheetData>
    <row r="1" spans="1:34" ht="15.75" thickBot="1" x14ac:dyDescent="0.3">
      <c r="A1" t="s">
        <v>22</v>
      </c>
      <c r="B1" t="s">
        <v>23</v>
      </c>
      <c r="C1" t="s">
        <v>24</v>
      </c>
      <c r="D1" t="s">
        <v>25</v>
      </c>
      <c r="E1" t="s">
        <v>35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19</v>
      </c>
      <c r="Y1" t="s">
        <v>20</v>
      </c>
      <c r="Z1" t="s">
        <v>27</v>
      </c>
      <c r="AA1" t="s">
        <v>18</v>
      </c>
      <c r="AB1" t="s">
        <v>26</v>
      </c>
      <c r="AC1" t="s">
        <v>28</v>
      </c>
      <c r="AD1" t="s">
        <v>29</v>
      </c>
      <c r="AE1" t="s">
        <v>30</v>
      </c>
      <c r="AF1" t="s">
        <v>21</v>
      </c>
      <c r="AG1" t="s">
        <v>31</v>
      </c>
      <c r="AH1" t="s">
        <v>39</v>
      </c>
    </row>
    <row r="2" spans="1:34" x14ac:dyDescent="0.25">
      <c r="A2" s="2" t="s">
        <v>32</v>
      </c>
      <c r="B2" s="3" t="s">
        <v>33</v>
      </c>
      <c r="C2" s="3" t="s">
        <v>34</v>
      </c>
      <c r="D2" s="3">
        <v>24</v>
      </c>
      <c r="E2" s="3" t="str">
        <f t="shared" ref="E2:E65" si="0">A2 &amp; "_" &amp; B2 &amp; "_" &amp; C2 &amp; "-" &amp; D2 &amp; "m"</f>
        <v>Foiling_HSB2_HSRW2-24m</v>
      </c>
      <c r="F2" s="3">
        <v>14</v>
      </c>
      <c r="G2" s="4">
        <f>ABS(Targets_DW[[#This Row],[BSP (km/h)]]*COS(RADIANS(Targets_DW[[#This Row],[TWA (deg)]]+Targets_DW[[#This Row],[LEEWAY (deg)]])))</f>
        <v>27.305098050721448</v>
      </c>
      <c r="H2" s="4">
        <v>50</v>
      </c>
      <c r="I2" s="4">
        <v>122</v>
      </c>
      <c r="J2" s="4">
        <v>1.1000000000000001</v>
      </c>
      <c r="K2" s="4">
        <v>1.4</v>
      </c>
      <c r="L2" s="4">
        <v>1</v>
      </c>
      <c r="M2" s="4">
        <f>Targets_DW[[#This Row],[CANT (deg)]]-Targets_DW[[#This Row],[HEEL (deg)]]</f>
        <v>0.39999999999999991</v>
      </c>
      <c r="N2" s="4">
        <v>1400</v>
      </c>
      <c r="O2" s="4">
        <v>1.48</v>
      </c>
      <c r="P2" s="4">
        <v>4.5999999999999996</v>
      </c>
      <c r="Q2" s="4">
        <v>-2.7</v>
      </c>
      <c r="R2" s="4">
        <v>-26</v>
      </c>
      <c r="S2" s="4">
        <f>Targets_DW[[#This Row],[CLEW (deg)]]-0.5*Targets_DW[[#This Row],[CA1 (deg)]]</f>
        <v>12.5</v>
      </c>
      <c r="T2" s="4">
        <v>-0.5</v>
      </c>
      <c r="U2" s="4">
        <v>13</v>
      </c>
      <c r="V2" s="4">
        <v>375</v>
      </c>
      <c r="W2" s="4">
        <v>6</v>
      </c>
      <c r="X2" s="4">
        <v>480</v>
      </c>
      <c r="Y2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43.948347575077264</v>
      </c>
      <c r="Z2" s="4">
        <f>DEGREES(ASIN(Targets_DW[[#This Row],[TWS (km/h)]]*SIN(RADIANS(Targets_DW[[#This Row],[TWA (deg)]]+Targets_DW[[#This Row],[LEEWAY (deg)]]))/Targets_DW[[#This Row],[AWS]]))</f>
        <v>15.477511760065781</v>
      </c>
      <c r="AA2" s="4">
        <f>Targets_DW[[#This Row],[AWA+Leeway]]-Targets_DW[[#This Row],[ROT (deg)]]</f>
        <v>2.9775117600657808</v>
      </c>
      <c r="AB2" s="4">
        <f>Targets_DW[[#This Row],[TWS (km/h)]]*(Targets_DW[[#This Row],[Wing]]/10)^0.1</f>
        <v>15.280907958650557</v>
      </c>
      <c r="AC2" s="4">
        <f>SQRT(Targets_DW[[#This Row],[TWSTop]]^2+Targets_DW[[#This Row],[BSP (km/h)]]^2+2*Targets_DW[[#This Row],[BSP (km/h)]]*Targets_DW[[#This Row],[TWSTop]]*COS(RADIANS(Targets_DW[[#This Row],[TWA (deg)]]+Targets_DW[[#This Row],[LEEWAY (deg)]])))</f>
        <v>43.577663634145686</v>
      </c>
      <c r="AD2" s="4">
        <f>DEGREES(ASIN(Targets_DW[[#This Row],[TWSTop]]*SIN(RADIANS(Targets_DW[[#This Row],[TWA (deg)]]+Targets_DW[[#This Row],[LEEWAY (deg)]]))/Targets_DW[[#This Row],[AWSTop]]))</f>
        <v>17.082822490684869</v>
      </c>
      <c r="AE2" s="4">
        <f>Targets_DW[[#This Row],[AWA+Leeway Top]]-Targets_DW[[#This Row],[ROT (deg)]]</f>
        <v>4.5828224906848689</v>
      </c>
      <c r="AF2" s="4">
        <f>Targets_DW[[#This Row],[CLEW (deg)]]+Targets_DW[[#This Row],[TWIST (deg)]]</f>
        <v>12.5</v>
      </c>
      <c r="AG2" s="5">
        <f>Targets_DW[[#This Row],[AWA+Leeway Top]]-Targets_DW[[#This Row],[CA6]]</f>
        <v>4.5828224906848689</v>
      </c>
      <c r="AH2" s="1">
        <f>Targets_DW[[#This Row],[AWA+Leeway]]-Targets_DW[[#This Row],[JibLead (deg)]]</f>
        <v>9.4775117600657808</v>
      </c>
    </row>
    <row r="3" spans="1:34" x14ac:dyDescent="0.25">
      <c r="A3" s="6" t="s">
        <v>32</v>
      </c>
      <c r="B3" t="s">
        <v>33</v>
      </c>
      <c r="C3" t="s">
        <v>34</v>
      </c>
      <c r="D3">
        <v>24</v>
      </c>
      <c r="E3" t="str">
        <f t="shared" si="0"/>
        <v>Foiling_HSB2_HSRW2-24m</v>
      </c>
      <c r="F3">
        <v>16</v>
      </c>
      <c r="G3" s="1">
        <f>ABS(Targets_DW[[#This Row],[BSP (km/h)]]*COS(RADIANS(Targets_DW[[#This Row],[TWA (deg)]]+Targets_DW[[#This Row],[LEEWAY (deg)]])))</f>
        <v>34.824373068901288</v>
      </c>
      <c r="H3" s="1">
        <v>58</v>
      </c>
      <c r="I3" s="1">
        <v>126</v>
      </c>
      <c r="J3" s="1">
        <v>0.9</v>
      </c>
      <c r="K3" s="1">
        <v>-1</v>
      </c>
      <c r="L3" s="1">
        <v>1</v>
      </c>
      <c r="M3" s="1">
        <f>Targets_DW[[#This Row],[CANT (deg)]]-Targets_DW[[#This Row],[HEEL (deg)]]</f>
        <v>-2</v>
      </c>
      <c r="N3" s="1">
        <v>1400</v>
      </c>
      <c r="O3" s="1">
        <v>1.45</v>
      </c>
      <c r="P3" s="1">
        <v>4.5999999999999996</v>
      </c>
      <c r="Q3" s="1">
        <v>-2.8</v>
      </c>
      <c r="R3" s="1">
        <v>-25</v>
      </c>
      <c r="S3" s="1">
        <f>Targets_DW[[#This Row],[CLEW (deg)]]-0.5*Targets_DW[[#This Row],[CA1 (deg)]]</f>
        <v>12.5</v>
      </c>
      <c r="T3" s="1">
        <v>0</v>
      </c>
      <c r="U3" s="1">
        <v>15</v>
      </c>
      <c r="V3" s="1">
        <v>450</v>
      </c>
      <c r="W3" s="1">
        <v>6.5</v>
      </c>
      <c r="X3" s="1">
        <v>650</v>
      </c>
      <c r="Y3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50.056169068309245</v>
      </c>
      <c r="Z3" s="1">
        <f>DEGREES(ASIN(Targets_DW[[#This Row],[TWS (km/h)]]*SIN(RADIANS(Targets_DW[[#This Row],[TWA (deg)]]+Targets_DW[[#This Row],[LEEWAY (deg)]]))/Targets_DW[[#This Row],[AWS]]))</f>
        <v>14.809848547291248</v>
      </c>
      <c r="AA3" s="1">
        <f>Targets_DW[[#This Row],[AWA+Leeway]]-Targets_DW[[#This Row],[ROT (deg)]]</f>
        <v>2.3098485472912476</v>
      </c>
      <c r="AB3" s="1">
        <f>Targets_DW[[#This Row],[TWS (km/h)]]*(Targets_DW[[#This Row],[Wing]]/10)^0.1</f>
        <v>17.463894809886352</v>
      </c>
      <c r="AC3" s="1">
        <f>SQRT(Targets_DW[[#This Row],[TWSTop]]^2+Targets_DW[[#This Row],[BSP (km/h)]]^2+2*Targets_DW[[#This Row],[BSP (km/h)]]*Targets_DW[[#This Row],[TWSTop]]*COS(RADIANS(Targets_DW[[#This Row],[TWA (deg)]]+Targets_DW[[#This Row],[LEEWAY (deg)]])))</f>
        <v>49.524228875770618</v>
      </c>
      <c r="AD3" s="1">
        <f>DEGREES(ASIN(Targets_DW[[#This Row],[TWSTop]]*SIN(RADIANS(Targets_DW[[#This Row],[TWA (deg)]]+Targets_DW[[#This Row],[LEEWAY (deg)]]))/Targets_DW[[#This Row],[AWSTop]]))</f>
        <v>16.379337434332129</v>
      </c>
      <c r="AE3" s="1">
        <f>Targets_DW[[#This Row],[AWA+Leeway Top]]-Targets_DW[[#This Row],[ROT (deg)]]</f>
        <v>3.879337434332129</v>
      </c>
      <c r="AF3" s="1">
        <f>Targets_DW[[#This Row],[CLEW (deg)]]+Targets_DW[[#This Row],[TWIST (deg)]]</f>
        <v>15</v>
      </c>
      <c r="AG3" s="7">
        <f>Targets_DW[[#This Row],[AWA+Leeway Top]]-Targets_DW[[#This Row],[CA6]]</f>
        <v>1.379337434332129</v>
      </c>
      <c r="AH3" s="1">
        <f>Targets_DW[[#This Row],[AWA+Leeway]]-Targets_DW[[#This Row],[JibLead (deg)]]</f>
        <v>8.3098485472912476</v>
      </c>
    </row>
    <row r="4" spans="1:34" x14ac:dyDescent="0.25">
      <c r="A4" s="6" t="s">
        <v>32</v>
      </c>
      <c r="B4" t="s">
        <v>33</v>
      </c>
      <c r="C4" t="s">
        <v>34</v>
      </c>
      <c r="D4">
        <v>24</v>
      </c>
      <c r="E4" t="str">
        <f t="shared" si="0"/>
        <v>Foiling_HSB2_HSRW2-24m</v>
      </c>
      <c r="F4">
        <v>18</v>
      </c>
      <c r="G4" s="1">
        <f>ABS(Targets_DW[[#This Row],[BSP (km/h)]]*COS(RADIANS(Targets_DW[[#This Row],[TWA (deg)]]+Targets_DW[[#This Row],[LEEWAY (deg)]])))</f>
        <v>40.430101037484299</v>
      </c>
      <c r="H4" s="1">
        <v>62</v>
      </c>
      <c r="I4" s="1">
        <v>130</v>
      </c>
      <c r="J4" s="1">
        <v>0.7</v>
      </c>
      <c r="K4" s="1">
        <v>-2</v>
      </c>
      <c r="L4" s="1">
        <v>0.9</v>
      </c>
      <c r="M4" s="1">
        <f>Targets_DW[[#This Row],[CANT (deg)]]-Targets_DW[[#This Row],[HEEL (deg)]]</f>
        <v>-2.9</v>
      </c>
      <c r="N4" s="1">
        <v>1375</v>
      </c>
      <c r="O4" s="1">
        <v>1.4</v>
      </c>
      <c r="P4" s="1">
        <v>4.5500000000000007</v>
      </c>
      <c r="Q4" s="1">
        <v>-3.1</v>
      </c>
      <c r="R4" s="1">
        <v>-24</v>
      </c>
      <c r="S4" s="1">
        <f>Targets_DW[[#This Row],[CLEW (deg)]]-0.5*Targets_DW[[#This Row],[CA1 (deg)]]</f>
        <v>12.5</v>
      </c>
      <c r="T4" s="1">
        <v>0.5</v>
      </c>
      <c r="U4" s="1">
        <v>16</v>
      </c>
      <c r="V4" s="1">
        <v>530</v>
      </c>
      <c r="W4" s="1">
        <v>7</v>
      </c>
      <c r="X4" s="1">
        <v>730</v>
      </c>
      <c r="Y4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52.081823726234518</v>
      </c>
      <c r="Z4" s="1">
        <f>DEGREES(ASIN(Targets_DW[[#This Row],[TWS (km/h)]]*SIN(RADIANS(Targets_DW[[#This Row],[TWA (deg)]]+Targets_DW[[#This Row],[LEEWAY (deg)]]))/Targets_DW[[#This Row],[AWS]]))</f>
        <v>15.189885627592126</v>
      </c>
      <c r="AA4" s="1">
        <f>Targets_DW[[#This Row],[AWA+Leeway]]-Targets_DW[[#This Row],[ROT (deg)]]</f>
        <v>2.6898856275921261</v>
      </c>
      <c r="AB4" s="1">
        <f>Targets_DW[[#This Row],[TWS (km/h)]]*(Targets_DW[[#This Row],[Wing]]/10)^0.1</f>
        <v>19.646881661122144</v>
      </c>
      <c r="AC4" s="1">
        <f>SQRT(Targets_DW[[#This Row],[TWSTop]]^2+Targets_DW[[#This Row],[BSP (km/h)]]^2+2*Targets_DW[[#This Row],[BSP (km/h)]]*Targets_DW[[#This Row],[TWSTop]]*COS(RADIANS(Targets_DW[[#This Row],[TWA (deg)]]+Targets_DW[[#This Row],[LEEWAY (deg)]])))</f>
        <v>51.394057416639193</v>
      </c>
      <c r="AD4" s="1">
        <f>DEGREES(ASIN(Targets_DW[[#This Row],[TWSTop]]*SIN(RADIANS(Targets_DW[[#This Row],[TWA (deg)]]+Targets_DW[[#This Row],[LEEWAY (deg)]]))/Targets_DW[[#This Row],[AWSTop]]))</f>
        <v>16.847121596558296</v>
      </c>
      <c r="AE4" s="1">
        <f>Targets_DW[[#This Row],[AWA+Leeway Top]]-Targets_DW[[#This Row],[ROT (deg)]]</f>
        <v>4.3471215965582957</v>
      </c>
      <c r="AF4" s="1">
        <f>Targets_DW[[#This Row],[CLEW (deg)]]+Targets_DW[[#This Row],[TWIST (deg)]]</f>
        <v>16.5</v>
      </c>
      <c r="AG4" s="7">
        <f>Targets_DW[[#This Row],[AWA+Leeway Top]]-Targets_DW[[#This Row],[CA6]]</f>
        <v>0.34712159655829566</v>
      </c>
      <c r="AH4" s="1">
        <f>Targets_DW[[#This Row],[AWA+Leeway]]-Targets_DW[[#This Row],[JibLead (deg)]]</f>
        <v>8.1898856275921261</v>
      </c>
    </row>
    <row r="5" spans="1:34" x14ac:dyDescent="0.25">
      <c r="A5" s="6" t="s">
        <v>32</v>
      </c>
      <c r="B5" t="s">
        <v>33</v>
      </c>
      <c r="C5" t="s">
        <v>34</v>
      </c>
      <c r="D5">
        <v>24</v>
      </c>
      <c r="E5" t="str">
        <f t="shared" si="0"/>
        <v>Foiling_HSB2_HSRW2-24m</v>
      </c>
      <c r="F5">
        <v>20</v>
      </c>
      <c r="G5" s="1">
        <f>ABS(Targets_DW[[#This Row],[BSP (km/h)]]*COS(RADIANS(Targets_DW[[#This Row],[TWA (deg)]]+Targets_DW[[#This Row],[LEEWAY (deg)]])))</f>
        <v>45.599542675105617</v>
      </c>
      <c r="H5" s="1">
        <v>65</v>
      </c>
      <c r="I5" s="1">
        <v>134</v>
      </c>
      <c r="J5" s="1">
        <v>0.55000000000000004</v>
      </c>
      <c r="K5" s="1">
        <v>-3</v>
      </c>
      <c r="L5" s="1">
        <v>0.75</v>
      </c>
      <c r="M5" s="1">
        <f>Targets_DW[[#This Row],[CANT (deg)]]-Targets_DW[[#This Row],[HEEL (deg)]]</f>
        <v>-3.75</v>
      </c>
      <c r="N5" s="1">
        <v>1350</v>
      </c>
      <c r="O5" s="1">
        <v>1.2</v>
      </c>
      <c r="P5" s="1">
        <v>4.4516222000000001</v>
      </c>
      <c r="Q5" s="1">
        <v>-3.2</v>
      </c>
      <c r="R5" s="1">
        <v>-23.5</v>
      </c>
      <c r="S5" s="1">
        <f>Targets_DW[[#This Row],[CLEW (deg)]]-0.5*Targets_DW[[#This Row],[CA1 (deg)]]</f>
        <v>12.75</v>
      </c>
      <c r="T5" s="1">
        <v>1</v>
      </c>
      <c r="U5" s="1">
        <v>18</v>
      </c>
      <c r="V5" s="1">
        <v>630</v>
      </c>
      <c r="W5" s="1">
        <v>7.5</v>
      </c>
      <c r="X5" s="1">
        <v>800</v>
      </c>
      <c r="Y5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52.924647311019235</v>
      </c>
      <c r="Z5" s="1">
        <f>DEGREES(ASIN(Targets_DW[[#This Row],[TWS (km/h)]]*SIN(RADIANS(Targets_DW[[#This Row],[TWA (deg)]]+Targets_DW[[#This Row],[LEEWAY (deg)]]))/Targets_DW[[#This Row],[AWS]]))</f>
        <v>15.622800100229625</v>
      </c>
      <c r="AA5" s="1">
        <f>Targets_DW[[#This Row],[AWA+Leeway]]-Targets_DW[[#This Row],[ROT (deg)]]</f>
        <v>2.8728001002296253</v>
      </c>
      <c r="AB5" s="1">
        <f>Targets_DW[[#This Row],[TWS (km/h)]]*(Targets_DW[[#This Row],[Wing]]/10)^0.1</f>
        <v>21.82986851235794</v>
      </c>
      <c r="AC5" s="1">
        <f>SQRT(Targets_DW[[#This Row],[TWSTop]]^2+Targets_DW[[#This Row],[BSP (km/h)]]^2+2*Targets_DW[[#This Row],[BSP (km/h)]]*Targets_DW[[#This Row],[TWSTop]]*COS(RADIANS(Targets_DW[[#This Row],[TWA (deg)]]+Targets_DW[[#This Row],[LEEWAY (deg)]])))</f>
        <v>52.064182675083032</v>
      </c>
      <c r="AD5" s="1">
        <f>DEGREES(ASIN(Targets_DW[[#This Row],[TWSTop]]*SIN(RADIANS(Targets_DW[[#This Row],[TWA (deg)]]+Targets_DW[[#This Row],[LEEWAY (deg)]]))/Targets_DW[[#This Row],[AWSTop]]))</f>
        <v>17.385574174973687</v>
      </c>
      <c r="AE5" s="1">
        <f>Targets_DW[[#This Row],[AWA+Leeway Top]]-Targets_DW[[#This Row],[ROT (deg)]]</f>
        <v>4.6355741749736872</v>
      </c>
      <c r="AF5" s="1">
        <f>Targets_DW[[#This Row],[CLEW (deg)]]+Targets_DW[[#This Row],[TWIST (deg)]]</f>
        <v>19</v>
      </c>
      <c r="AG5" s="7">
        <f>Targets_DW[[#This Row],[AWA+Leeway Top]]-Targets_DW[[#This Row],[CA6]]</f>
        <v>-1.6144258250263128</v>
      </c>
      <c r="AH5" s="1">
        <f>Targets_DW[[#This Row],[AWA+Leeway]]-Targets_DW[[#This Row],[JibLead (deg)]]</f>
        <v>8.1228001002296253</v>
      </c>
    </row>
    <row r="6" spans="1:34" x14ac:dyDescent="0.25">
      <c r="A6" s="6" t="s">
        <v>32</v>
      </c>
      <c r="B6" t="s">
        <v>33</v>
      </c>
      <c r="C6" t="s">
        <v>34</v>
      </c>
      <c r="D6">
        <v>24</v>
      </c>
      <c r="E6" t="str">
        <f t="shared" si="0"/>
        <v>Foiling_HSB2_HSRW2-24m</v>
      </c>
      <c r="F6">
        <v>22</v>
      </c>
      <c r="G6" s="1">
        <f>ABS(Targets_DW[[#This Row],[BSP (km/h)]]*COS(RADIANS(Targets_DW[[#This Row],[TWA (deg)]]+Targets_DW[[#This Row],[LEEWAY (deg)]])))</f>
        <v>49.318504837022196</v>
      </c>
      <c r="H6" s="1">
        <v>67</v>
      </c>
      <c r="I6" s="1">
        <v>137</v>
      </c>
      <c r="J6" s="1">
        <v>0.4</v>
      </c>
      <c r="K6" s="1">
        <v>-3.5</v>
      </c>
      <c r="L6" s="1">
        <v>0.6</v>
      </c>
      <c r="M6" s="1">
        <f>Targets_DW[[#This Row],[CANT (deg)]]-Targets_DW[[#This Row],[HEEL (deg)]]</f>
        <v>-4.0999999999999996</v>
      </c>
      <c r="N6" s="1">
        <v>1325</v>
      </c>
      <c r="O6" s="1">
        <v>1</v>
      </c>
      <c r="P6" s="1">
        <v>4.4259712299999894</v>
      </c>
      <c r="Q6" s="1">
        <v>-3.3</v>
      </c>
      <c r="R6" s="1">
        <v>-23</v>
      </c>
      <c r="S6" s="1">
        <f>Targets_DW[[#This Row],[CLEW (deg)]]-0.5*Targets_DW[[#This Row],[CA1 (deg)]]</f>
        <v>13</v>
      </c>
      <c r="T6" s="1">
        <v>1.5</v>
      </c>
      <c r="U6" s="1">
        <v>19</v>
      </c>
      <c r="V6" s="1">
        <v>710</v>
      </c>
      <c r="W6" s="1">
        <v>7.7</v>
      </c>
      <c r="X6" s="1">
        <v>780</v>
      </c>
      <c r="Y6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52.943231740903606</v>
      </c>
      <c r="Z6" s="1">
        <f>DEGREES(ASIN(Targets_DW[[#This Row],[TWS (km/h)]]*SIN(RADIANS(Targets_DW[[#This Row],[TWA (deg)]]+Targets_DW[[#This Row],[LEEWAY (deg)]]))/Targets_DW[[#This Row],[AWS]]))</f>
        <v>16.33593631413375</v>
      </c>
      <c r="AA6" s="1">
        <f>Targets_DW[[#This Row],[AWA+Leeway]]-Targets_DW[[#This Row],[ROT (deg)]]</f>
        <v>3.3359363141337504</v>
      </c>
      <c r="AB6" s="1">
        <f>Targets_DW[[#This Row],[TWS (km/h)]]*(Targets_DW[[#This Row],[Wing]]/10)^0.1</f>
        <v>24.012855363593733</v>
      </c>
      <c r="AC6" s="1">
        <f>SQRT(Targets_DW[[#This Row],[TWSTop]]^2+Targets_DW[[#This Row],[BSP (km/h)]]^2+2*Targets_DW[[#This Row],[BSP (km/h)]]*Targets_DW[[#This Row],[TWSTop]]*COS(RADIANS(Targets_DW[[#This Row],[TWA (deg)]]+Targets_DW[[#This Row],[LEEWAY (deg)]])))</f>
        <v>51.933235754309088</v>
      </c>
      <c r="AD6" s="1">
        <f>DEGREES(ASIN(Targets_DW[[#This Row],[TWSTop]]*SIN(RADIANS(Targets_DW[[#This Row],[TWA (deg)]]+Targets_DW[[#This Row],[LEEWAY (deg)]]))/Targets_DW[[#This Row],[AWSTop]]))</f>
        <v>18.238517010264815</v>
      </c>
      <c r="AE6" s="1">
        <f>Targets_DW[[#This Row],[AWA+Leeway Top]]-Targets_DW[[#This Row],[ROT (deg)]]</f>
        <v>5.2385170102648146</v>
      </c>
      <c r="AF6" s="1">
        <f>Targets_DW[[#This Row],[CLEW (deg)]]+Targets_DW[[#This Row],[TWIST (deg)]]</f>
        <v>20.5</v>
      </c>
      <c r="AG6" s="7">
        <f>Targets_DW[[#This Row],[AWA+Leeway Top]]-Targets_DW[[#This Row],[CA6]]</f>
        <v>-2.2614829897351854</v>
      </c>
      <c r="AH6" s="1">
        <f>Targets_DW[[#This Row],[AWA+Leeway]]-Targets_DW[[#This Row],[JibLead (deg)]]</f>
        <v>8.6359363141337511</v>
      </c>
    </row>
    <row r="7" spans="1:34" x14ac:dyDescent="0.25">
      <c r="A7" s="6" t="s">
        <v>32</v>
      </c>
      <c r="B7" t="s">
        <v>33</v>
      </c>
      <c r="C7" t="s">
        <v>34</v>
      </c>
      <c r="D7">
        <v>24</v>
      </c>
      <c r="E7" t="str">
        <f t="shared" si="0"/>
        <v>Foiling_HSB2_HSRW2-24m</v>
      </c>
      <c r="F7">
        <v>24</v>
      </c>
      <c r="G7" s="1">
        <f>ABS(Targets_DW[[#This Row],[BSP (km/h)]]*COS(RADIANS(Targets_DW[[#This Row],[TWA (deg)]]+Targets_DW[[#This Row],[LEEWAY (deg)]])))</f>
        <v>52.232658839971187</v>
      </c>
      <c r="H7" s="1">
        <v>69</v>
      </c>
      <c r="I7" s="1">
        <v>139</v>
      </c>
      <c r="J7" s="1">
        <v>0.2</v>
      </c>
      <c r="K7" s="1">
        <v>-3.9</v>
      </c>
      <c r="L7" s="1">
        <v>0.45</v>
      </c>
      <c r="M7" s="1">
        <f>Targets_DW[[#This Row],[CANT (deg)]]-Targets_DW[[#This Row],[HEEL (deg)]]</f>
        <v>-4.3499999999999996</v>
      </c>
      <c r="N7" s="1">
        <v>1300</v>
      </c>
      <c r="O7" s="1">
        <v>0.8</v>
      </c>
      <c r="P7" s="1">
        <v>4.4000000000000004</v>
      </c>
      <c r="Q7" s="1">
        <v>-3.3</v>
      </c>
      <c r="R7" s="1">
        <v>-23</v>
      </c>
      <c r="S7" s="1">
        <f>Targets_DW[[#This Row],[CLEW (deg)]]-0.5*Targets_DW[[#This Row],[CA1 (deg)]]</f>
        <v>13.5</v>
      </c>
      <c r="T7" s="1">
        <v>2</v>
      </c>
      <c r="U7" s="1">
        <v>20</v>
      </c>
      <c r="V7" s="1">
        <v>780</v>
      </c>
      <c r="W7" s="1">
        <v>7.9</v>
      </c>
      <c r="X7" s="1">
        <v>800</v>
      </c>
      <c r="Y7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53.196168806422364</v>
      </c>
      <c r="Z7" s="1">
        <f>DEGREES(ASIN(Targets_DW[[#This Row],[TWS (km/h)]]*SIN(RADIANS(Targets_DW[[#This Row],[TWA (deg)]]+Targets_DW[[#This Row],[LEEWAY (deg)]]))/Targets_DW[[#This Row],[AWS]]))</f>
        <v>17.145391516977657</v>
      </c>
      <c r="AA7" s="1">
        <f>Targets_DW[[#This Row],[AWA+Leeway]]-Targets_DW[[#This Row],[ROT (deg)]]</f>
        <v>3.6453915169776572</v>
      </c>
      <c r="AB7" s="1">
        <f>Targets_DW[[#This Row],[TWS (km/h)]]*(Targets_DW[[#This Row],[Wing]]/10)^0.1</f>
        <v>26.195842214829526</v>
      </c>
      <c r="AC7" s="1">
        <f>SQRT(Targets_DW[[#This Row],[TWSTop]]^2+Targets_DW[[#This Row],[BSP (km/h)]]^2+2*Targets_DW[[#This Row],[BSP (km/h)]]*Targets_DW[[#This Row],[TWSTop]]*COS(RADIANS(Targets_DW[[#This Row],[TWA (deg)]]+Targets_DW[[#This Row],[LEEWAY (deg)]])))</f>
        <v>52.064048733059877</v>
      </c>
      <c r="AD7" s="1">
        <f>DEGREES(ASIN(Targets_DW[[#This Row],[TWSTop]]*SIN(RADIANS(Targets_DW[[#This Row],[TWA (deg)]]+Targets_DW[[#This Row],[LEEWAY (deg)]]))/Targets_DW[[#This Row],[AWSTop]]))</f>
        <v>19.193910135413638</v>
      </c>
      <c r="AE7" s="1">
        <f>Targets_DW[[#This Row],[AWA+Leeway Top]]-Targets_DW[[#This Row],[ROT (deg)]]</f>
        <v>5.6939101354136383</v>
      </c>
      <c r="AF7" s="1">
        <f>Targets_DW[[#This Row],[CLEW (deg)]]+Targets_DW[[#This Row],[TWIST (deg)]]</f>
        <v>22</v>
      </c>
      <c r="AG7" s="7">
        <f>Targets_DW[[#This Row],[AWA+Leeway Top]]-Targets_DW[[#This Row],[CA6]]</f>
        <v>-2.8060898645863617</v>
      </c>
      <c r="AH7" s="1">
        <f>Targets_DW[[#This Row],[AWA+Leeway]]-Targets_DW[[#This Row],[JibLead (deg)]]</f>
        <v>9.2453915169776568</v>
      </c>
    </row>
    <row r="8" spans="1:34" x14ac:dyDescent="0.25">
      <c r="A8" s="6" t="s">
        <v>32</v>
      </c>
      <c r="B8" t="s">
        <v>33</v>
      </c>
      <c r="C8" t="s">
        <v>34</v>
      </c>
      <c r="D8">
        <v>24</v>
      </c>
      <c r="E8" t="str">
        <f t="shared" si="0"/>
        <v>Foiling_HSB2_HSRW2-24m</v>
      </c>
      <c r="F8">
        <v>26</v>
      </c>
      <c r="G8" s="1">
        <f>ABS(Targets_DW[[#This Row],[BSP (km/h)]]*COS(RADIANS(Targets_DW[[#This Row],[TWA (deg)]]+Targets_DW[[#This Row],[LEEWAY (deg)]])))</f>
        <v>54.866141971084474</v>
      </c>
      <c r="H8" s="1">
        <v>70.5</v>
      </c>
      <c r="I8" s="1">
        <v>141</v>
      </c>
      <c r="J8" s="1">
        <v>0.1</v>
      </c>
      <c r="K8" s="1">
        <v>-4.25</v>
      </c>
      <c r="L8" s="1">
        <v>0.25490078999996602</v>
      </c>
      <c r="M8" s="1">
        <f>Targets_DW[[#This Row],[CANT (deg)]]-Targets_DW[[#This Row],[HEEL (deg)]]</f>
        <v>-4.504900789999966</v>
      </c>
      <c r="N8" s="1">
        <v>1275</v>
      </c>
      <c r="O8" s="1">
        <v>0.6</v>
      </c>
      <c r="P8" s="1">
        <v>4.3499999999999996</v>
      </c>
      <c r="Q8" s="1">
        <v>-3.3</v>
      </c>
      <c r="R8" s="1">
        <v>-22.5</v>
      </c>
      <c r="S8" s="1">
        <f>Targets_DW[[#This Row],[CLEW (deg)]]-0.5*Targets_DW[[#This Row],[CA1 (deg)]]</f>
        <v>13.75</v>
      </c>
      <c r="T8" s="1">
        <v>2.5</v>
      </c>
      <c r="U8" s="1">
        <v>20</v>
      </c>
      <c r="V8" s="1">
        <v>830</v>
      </c>
      <c r="W8" s="1">
        <v>8.1</v>
      </c>
      <c r="X8" s="1">
        <v>750</v>
      </c>
      <c r="Y8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52.850833650034389</v>
      </c>
      <c r="Z8" s="1">
        <f>DEGREES(ASIN(Targets_DW[[#This Row],[TWS (km/h)]]*SIN(RADIANS(Targets_DW[[#This Row],[TWA (deg)]]+Targets_DW[[#This Row],[LEEWAY (deg)]]))/Targets_DW[[#This Row],[AWS]]))</f>
        <v>17.994567045865178</v>
      </c>
      <c r="AA8" s="1">
        <f>Targets_DW[[#This Row],[AWA+Leeway]]-Targets_DW[[#This Row],[ROT (deg)]]</f>
        <v>4.2445670458651783</v>
      </c>
      <c r="AB8" s="1">
        <f>Targets_DW[[#This Row],[TWS (km/h)]]*(Targets_DW[[#This Row],[Wing]]/10)^0.1</f>
        <v>28.378829066065322</v>
      </c>
      <c r="AC8" s="1">
        <f>SQRT(Targets_DW[[#This Row],[TWSTop]]^2+Targets_DW[[#This Row],[BSP (km/h)]]^2+2*Targets_DW[[#This Row],[BSP (km/h)]]*Targets_DW[[#This Row],[TWSTop]]*COS(RADIANS(Targets_DW[[#This Row],[TWA (deg)]]+Targets_DW[[#This Row],[LEEWAY (deg)]])))</f>
        <v>51.590059218198199</v>
      </c>
      <c r="AD8" s="1">
        <f>DEGREES(ASIN(Targets_DW[[#This Row],[TWSTop]]*SIN(RADIANS(Targets_DW[[#This Row],[TWA (deg)]]+Targets_DW[[#This Row],[LEEWAY (deg)]]))/Targets_DW[[#This Row],[AWSTop]]))</f>
        <v>20.208167618662461</v>
      </c>
      <c r="AE8" s="1">
        <f>Targets_DW[[#This Row],[AWA+Leeway Top]]-Targets_DW[[#This Row],[ROT (deg)]]</f>
        <v>6.4581676186624613</v>
      </c>
      <c r="AF8" s="1">
        <f>Targets_DW[[#This Row],[CLEW (deg)]]+Targets_DW[[#This Row],[TWIST (deg)]]</f>
        <v>22.5</v>
      </c>
      <c r="AG8" s="7">
        <f>Targets_DW[[#This Row],[AWA+Leeway Top]]-Targets_DW[[#This Row],[CA6]]</f>
        <v>-2.2918323813375387</v>
      </c>
      <c r="AH8" s="1">
        <f>Targets_DW[[#This Row],[AWA+Leeway]]-Targets_DW[[#This Row],[JibLead (deg)]]</f>
        <v>9.8945670458651787</v>
      </c>
    </row>
    <row r="9" spans="1:34" x14ac:dyDescent="0.25">
      <c r="A9" s="6" t="s">
        <v>32</v>
      </c>
      <c r="B9" t="s">
        <v>33</v>
      </c>
      <c r="C9" t="s">
        <v>34</v>
      </c>
      <c r="D9">
        <v>24</v>
      </c>
      <c r="E9" t="str">
        <f t="shared" si="0"/>
        <v>Foiling_HSB2_HSRW2-24m</v>
      </c>
      <c r="F9">
        <v>28</v>
      </c>
      <c r="G9" s="1">
        <f>ABS(Targets_DW[[#This Row],[BSP (km/h)]]*COS(RADIANS(Targets_DW[[#This Row],[TWA (deg)]]+Targets_DW[[#This Row],[LEEWAY (deg)]])))</f>
        <v>57.501756723405094</v>
      </c>
      <c r="H9" s="1">
        <v>72</v>
      </c>
      <c r="I9" s="1">
        <v>143</v>
      </c>
      <c r="J9" s="1">
        <v>0</v>
      </c>
      <c r="K9" s="1">
        <v>-4.5</v>
      </c>
      <c r="L9" s="1">
        <v>9.4945269999949095E-2</v>
      </c>
      <c r="M9" s="1">
        <f>Targets_DW[[#This Row],[CANT (deg)]]-Targets_DW[[#This Row],[HEEL (deg)]]</f>
        <v>-4.5949452699999487</v>
      </c>
      <c r="N9" s="1">
        <v>1250</v>
      </c>
      <c r="O9" s="1">
        <v>0.5</v>
      </c>
      <c r="P9" s="1">
        <v>4.28</v>
      </c>
      <c r="Q9" s="1">
        <v>-3.2</v>
      </c>
      <c r="R9" s="1">
        <v>-22</v>
      </c>
      <c r="S9" s="1">
        <f>Targets_DW[[#This Row],[CLEW (deg)]]-0.5*Targets_DW[[#This Row],[CA1 (deg)]]</f>
        <v>14</v>
      </c>
      <c r="T9" s="1">
        <v>3</v>
      </c>
      <c r="U9" s="1">
        <v>20</v>
      </c>
      <c r="V9" s="1">
        <v>890</v>
      </c>
      <c r="W9" s="1">
        <v>8.3000000000000007</v>
      </c>
      <c r="X9" s="1">
        <v>725</v>
      </c>
      <c r="Y9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52.420431355429677</v>
      </c>
      <c r="Z9" s="1">
        <f>DEGREES(ASIN(Targets_DW[[#This Row],[TWS (km/h)]]*SIN(RADIANS(Targets_DW[[#This Row],[TWA (deg)]]+Targets_DW[[#This Row],[LEEWAY (deg)]]))/Targets_DW[[#This Row],[AWS]]))</f>
        <v>18.750952524914535</v>
      </c>
      <c r="AA9" s="1">
        <f>Targets_DW[[#This Row],[AWA+Leeway]]-Targets_DW[[#This Row],[ROT (deg)]]</f>
        <v>4.7509525249145348</v>
      </c>
      <c r="AB9" s="1">
        <f>Targets_DW[[#This Row],[TWS (km/h)]]*(Targets_DW[[#This Row],[Wing]]/10)^0.1</f>
        <v>30.561815917301114</v>
      </c>
      <c r="AC9" s="1">
        <f>SQRT(Targets_DW[[#This Row],[TWSTop]]^2+Targets_DW[[#This Row],[BSP (km/h)]]^2+2*Targets_DW[[#This Row],[BSP (km/h)]]*Targets_DW[[#This Row],[TWSTop]]*COS(RADIANS(Targets_DW[[#This Row],[TWA (deg)]]+Targets_DW[[#This Row],[LEEWAY (deg)]])))</f>
        <v>51.0226262001352</v>
      </c>
      <c r="AD9" s="1">
        <f>DEGREES(ASIN(Targets_DW[[#This Row],[TWSTop]]*SIN(RADIANS(Targets_DW[[#This Row],[TWA (deg)]]+Targets_DW[[#This Row],[LEEWAY (deg)]]))/Targets_DW[[#This Row],[AWSTop]]))</f>
        <v>21.129585484062176</v>
      </c>
      <c r="AE9" s="1">
        <f>Targets_DW[[#This Row],[AWA+Leeway Top]]-Targets_DW[[#This Row],[ROT (deg)]]</f>
        <v>7.1295854840621757</v>
      </c>
      <c r="AF9" s="1">
        <f>Targets_DW[[#This Row],[CLEW (deg)]]+Targets_DW[[#This Row],[TWIST (deg)]]</f>
        <v>23</v>
      </c>
      <c r="AG9" s="7">
        <f>Targets_DW[[#This Row],[AWA+Leeway Top]]-Targets_DW[[#This Row],[CA6]]</f>
        <v>-1.8704145159378243</v>
      </c>
      <c r="AH9" s="1">
        <f>Targets_DW[[#This Row],[AWA+Leeway]]-Targets_DW[[#This Row],[JibLead (deg)]]</f>
        <v>10.450952524914534</v>
      </c>
    </row>
    <row r="10" spans="1:34" x14ac:dyDescent="0.25">
      <c r="A10" s="6" t="s">
        <v>32</v>
      </c>
      <c r="B10" t="s">
        <v>33</v>
      </c>
      <c r="C10" t="s">
        <v>34</v>
      </c>
      <c r="D10">
        <v>24</v>
      </c>
      <c r="E10" t="str">
        <f t="shared" si="0"/>
        <v>Foiling_HSB2_HSRW2-24m</v>
      </c>
      <c r="F10">
        <v>30</v>
      </c>
      <c r="G10" s="1">
        <f>ABS(Targets_DW[[#This Row],[BSP (km/h)]]*COS(RADIANS(Targets_DW[[#This Row],[TWA (deg)]]+Targets_DW[[#This Row],[LEEWAY (deg)]])))</f>
        <v>59.798099233096409</v>
      </c>
      <c r="H10" s="1">
        <v>73</v>
      </c>
      <c r="I10" s="1">
        <v>145</v>
      </c>
      <c r="J10" s="1">
        <v>0</v>
      </c>
      <c r="K10" s="1">
        <v>-4.75</v>
      </c>
      <c r="L10" s="1">
        <v>-0.11903361000002601</v>
      </c>
      <c r="M10" s="1">
        <f>Targets_DW[[#This Row],[CANT (deg)]]-Targets_DW[[#This Row],[HEEL (deg)]]</f>
        <v>-4.6309663899999736</v>
      </c>
      <c r="N10" s="1">
        <v>1225</v>
      </c>
      <c r="O10" s="1">
        <v>0.45</v>
      </c>
      <c r="P10" s="1">
        <v>4.25</v>
      </c>
      <c r="Q10" s="1">
        <v>-3.2</v>
      </c>
      <c r="R10" s="1">
        <v>-21.8</v>
      </c>
      <c r="S10" s="1">
        <f>Targets_DW[[#This Row],[CLEW (deg)]]-0.5*Targets_DW[[#This Row],[CA1 (deg)]]</f>
        <v>14.4</v>
      </c>
      <c r="T10" s="1">
        <v>3.5</v>
      </c>
      <c r="U10" s="1">
        <v>20</v>
      </c>
      <c r="V10" s="1">
        <v>930</v>
      </c>
      <c r="W10" s="1">
        <v>8.5</v>
      </c>
      <c r="X10" s="1">
        <v>715</v>
      </c>
      <c r="Y10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51.391770216779022</v>
      </c>
      <c r="Z10" s="1">
        <f>DEGREES(ASIN(Targets_DW[[#This Row],[TWS (km/h)]]*SIN(RADIANS(Targets_DW[[#This Row],[TWA (deg)]]+Targets_DW[[#This Row],[LEEWAY (deg)]]))/Targets_DW[[#This Row],[AWS]]))</f>
        <v>19.561948258676328</v>
      </c>
      <c r="AA10" s="1">
        <f>Targets_DW[[#This Row],[AWA+Leeway]]-Targets_DW[[#This Row],[ROT (deg)]]</f>
        <v>5.1619482586763272</v>
      </c>
      <c r="AB10" s="1">
        <f>Targets_DW[[#This Row],[TWS (km/h)]]*(Targets_DW[[#This Row],[Wing]]/10)^0.1</f>
        <v>32.744802768536907</v>
      </c>
      <c r="AC10" s="1">
        <f>SQRT(Targets_DW[[#This Row],[TWSTop]]^2+Targets_DW[[#This Row],[BSP (km/h)]]^2+2*Targets_DW[[#This Row],[BSP (km/h)]]*Targets_DW[[#This Row],[TWSTop]]*COS(RADIANS(Targets_DW[[#This Row],[TWA (deg)]]+Targets_DW[[#This Row],[LEEWAY (deg)]])))</f>
        <v>49.850458149430303</v>
      </c>
      <c r="AD10" s="1">
        <f>DEGREES(ASIN(Targets_DW[[#This Row],[TWSTop]]*SIN(RADIANS(Targets_DW[[#This Row],[TWA (deg)]]+Targets_DW[[#This Row],[LEEWAY (deg)]]))/Targets_DW[[#This Row],[AWSTop]]))</f>
        <v>22.133119365402596</v>
      </c>
      <c r="AE10" s="1">
        <f>Targets_DW[[#This Row],[AWA+Leeway Top]]-Targets_DW[[#This Row],[ROT (deg)]]</f>
        <v>7.7331193654025956</v>
      </c>
      <c r="AF10" s="1">
        <f>Targets_DW[[#This Row],[CLEW (deg)]]+Targets_DW[[#This Row],[TWIST (deg)]]</f>
        <v>23.5</v>
      </c>
      <c r="AG10" s="7">
        <f>Targets_DW[[#This Row],[AWA+Leeway Top]]-Targets_DW[[#This Row],[CA6]]</f>
        <v>-1.3668806345974041</v>
      </c>
      <c r="AH10" s="1">
        <f>Targets_DW[[#This Row],[AWA+Leeway]]-Targets_DW[[#This Row],[JibLead (deg)]]</f>
        <v>11.061948258676328</v>
      </c>
    </row>
    <row r="11" spans="1:34" x14ac:dyDescent="0.25">
      <c r="A11" s="6" t="s">
        <v>32</v>
      </c>
      <c r="B11" t="s">
        <v>33</v>
      </c>
      <c r="C11" t="s">
        <v>34</v>
      </c>
      <c r="D11">
        <v>24</v>
      </c>
      <c r="E11" t="str">
        <f t="shared" si="0"/>
        <v>Foiling_HSB2_HSRW2-24m</v>
      </c>
      <c r="F11">
        <v>32</v>
      </c>
      <c r="G11" s="1">
        <f>ABS(Targets_DW[[#This Row],[BSP (km/h)]]*COS(RADIANS(Targets_DW[[#This Row],[TWA (deg)]]+Targets_DW[[#This Row],[LEEWAY (deg)]])))</f>
        <v>62.06162202796137</v>
      </c>
      <c r="H11" s="1">
        <v>74</v>
      </c>
      <c r="I11" s="1">
        <v>147</v>
      </c>
      <c r="J11" s="1">
        <v>0</v>
      </c>
      <c r="K11" s="1">
        <v>-5</v>
      </c>
      <c r="L11" s="1">
        <v>-0.38703585000004598</v>
      </c>
      <c r="M11" s="1">
        <f>Targets_DW[[#This Row],[CANT (deg)]]-Targets_DW[[#This Row],[HEEL (deg)]]</f>
        <v>-4.6129641499999536</v>
      </c>
      <c r="N11" s="1">
        <v>1210</v>
      </c>
      <c r="O11" s="1">
        <v>0.4</v>
      </c>
      <c r="P11" s="1">
        <v>4.0999999999999996</v>
      </c>
      <c r="Q11" s="1">
        <v>-3.1</v>
      </c>
      <c r="R11" s="1">
        <v>-21.5</v>
      </c>
      <c r="S11" s="1">
        <f>Targets_DW[[#This Row],[CLEW (deg)]]-0.5*Targets_DW[[#This Row],[CA1 (deg)]]</f>
        <v>14.75</v>
      </c>
      <c r="T11" s="1">
        <v>4</v>
      </c>
      <c r="U11" s="1">
        <v>19</v>
      </c>
      <c r="V11" s="1">
        <v>920</v>
      </c>
      <c r="W11" s="1">
        <v>8.6999999999999993</v>
      </c>
      <c r="X11" s="1">
        <v>680</v>
      </c>
      <c r="Y11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50.279779138441654</v>
      </c>
      <c r="Z11" s="1">
        <f>DEGREES(ASIN(Targets_DW[[#This Row],[TWS (km/h)]]*SIN(RADIANS(Targets_DW[[#This Row],[TWA (deg)]]+Targets_DW[[#This Row],[LEEWAY (deg)]]))/Targets_DW[[#This Row],[AWS]]))</f>
        <v>20.281291500119192</v>
      </c>
      <c r="AA11" s="1">
        <f>Targets_DW[[#This Row],[AWA+Leeway]]-Targets_DW[[#This Row],[ROT (deg)]]</f>
        <v>5.5312915001191918</v>
      </c>
      <c r="AB11" s="1">
        <f>Targets_DW[[#This Row],[TWS (km/h)]]*(Targets_DW[[#This Row],[Wing]]/10)^0.1</f>
        <v>34.927789619772703</v>
      </c>
      <c r="AC11" s="1">
        <f>SQRT(Targets_DW[[#This Row],[TWSTop]]^2+Targets_DW[[#This Row],[BSP (km/h)]]^2+2*Targets_DW[[#This Row],[BSP (km/h)]]*Targets_DW[[#This Row],[TWSTop]]*COS(RADIANS(Targets_DW[[#This Row],[TWA (deg)]]+Targets_DW[[#This Row],[LEEWAY (deg)]])))</f>
        <v>48.586005520253778</v>
      </c>
      <c r="AD11" s="1">
        <f>DEGREES(ASIN(Targets_DW[[#This Row],[TWSTop]]*SIN(RADIANS(Targets_DW[[#This Row],[TWA (deg)]]+Targets_DW[[#This Row],[LEEWAY (deg)]]))/Targets_DW[[#This Row],[AWSTop]]))</f>
        <v>23.049937652147669</v>
      </c>
      <c r="AE11" s="1">
        <f>Targets_DW[[#This Row],[AWA+Leeway Top]]-Targets_DW[[#This Row],[ROT (deg)]]</f>
        <v>8.2999376521476691</v>
      </c>
      <c r="AF11" s="1">
        <f>Targets_DW[[#This Row],[CLEW (deg)]]+Targets_DW[[#This Row],[TWIST (deg)]]</f>
        <v>23</v>
      </c>
      <c r="AG11" s="7">
        <f>Targets_DW[[#This Row],[AWA+Leeway Top]]-Targets_DW[[#This Row],[CA6]]</f>
        <v>4.9937652147669098E-2</v>
      </c>
      <c r="AH11" s="1">
        <f>Targets_DW[[#This Row],[AWA+Leeway]]-Targets_DW[[#This Row],[JibLead (deg)]]</f>
        <v>11.581291500119193</v>
      </c>
    </row>
    <row r="12" spans="1:34" x14ac:dyDescent="0.25">
      <c r="A12" s="6" t="s">
        <v>32</v>
      </c>
      <c r="B12" t="s">
        <v>33</v>
      </c>
      <c r="C12" t="s">
        <v>34</v>
      </c>
      <c r="D12">
        <v>24</v>
      </c>
      <c r="E12" t="str">
        <f t="shared" si="0"/>
        <v>Foiling_HSB2_HSRW2-24m</v>
      </c>
      <c r="F12">
        <v>34</v>
      </c>
      <c r="G12" s="1">
        <f>ABS(Targets_DW[[#This Row],[BSP (km/h)]]*COS(RADIANS(Targets_DW[[#This Row],[TWA (deg)]]+Targets_DW[[#This Row],[LEEWAY (deg)]])))</f>
        <v>64.28754755265841</v>
      </c>
      <c r="H12" s="1">
        <v>75</v>
      </c>
      <c r="I12" s="1">
        <v>149</v>
      </c>
      <c r="J12" s="1">
        <v>0</v>
      </c>
      <c r="K12" s="1">
        <v>-5.25</v>
      </c>
      <c r="L12" s="1">
        <v>-0.70906145000002396</v>
      </c>
      <c r="M12" s="1">
        <f>Targets_DW[[#This Row],[CANT (deg)]]-Targets_DW[[#This Row],[HEEL (deg)]]</f>
        <v>-4.5409385499999759</v>
      </c>
      <c r="N12" s="1">
        <v>1199.7871856000099</v>
      </c>
      <c r="O12" s="1">
        <v>0.35</v>
      </c>
      <c r="P12" s="1">
        <v>4</v>
      </c>
      <c r="Q12" s="1">
        <v>-3.1</v>
      </c>
      <c r="R12" s="1">
        <v>-21.2</v>
      </c>
      <c r="S12" s="1">
        <f>Targets_DW[[#This Row],[CLEW (deg)]]-0.5*Targets_DW[[#This Row],[CA1 (deg)]]</f>
        <v>14.6</v>
      </c>
      <c r="T12" s="1">
        <v>4</v>
      </c>
      <c r="U12" s="1">
        <v>18</v>
      </c>
      <c r="V12" s="1">
        <v>880</v>
      </c>
      <c r="W12" s="1">
        <v>8.8000000000000007</v>
      </c>
      <c r="X12" s="1"/>
      <c r="Y12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49.086115821270965</v>
      </c>
      <c r="Z12" s="1">
        <f>DEGREES(ASIN(Targets_DW[[#This Row],[TWS (km/h)]]*SIN(RADIANS(Targets_DW[[#This Row],[TWA (deg)]]+Targets_DW[[#This Row],[LEEWAY (deg)]]))/Targets_DW[[#This Row],[AWS]]))</f>
        <v>20.900514521228356</v>
      </c>
      <c r="AA12" s="1">
        <f>Targets_DW[[#This Row],[AWA+Leeway]]-Targets_DW[[#This Row],[ROT (deg)]]</f>
        <v>6.3005145212283562</v>
      </c>
      <c r="AB12" s="1">
        <f>Targets_DW[[#This Row],[TWS (km/h)]]*(Targets_DW[[#This Row],[Wing]]/10)^0.1</f>
        <v>37.110776471008499</v>
      </c>
      <c r="AC12" s="1">
        <f>SQRT(Targets_DW[[#This Row],[TWSTop]]^2+Targets_DW[[#This Row],[BSP (km/h)]]^2+2*Targets_DW[[#This Row],[BSP (km/h)]]*Targets_DW[[#This Row],[TWSTop]]*COS(RADIANS(Targets_DW[[#This Row],[TWA (deg)]]+Targets_DW[[#This Row],[LEEWAY (deg)]])))</f>
        <v>47.230161084725154</v>
      </c>
      <c r="AD12" s="1">
        <f>DEGREES(ASIN(Targets_DW[[#This Row],[TWSTop]]*SIN(RADIANS(Targets_DW[[#This Row],[TWA (deg)]]+Targets_DW[[#This Row],[LEEWAY (deg)]]))/Targets_DW[[#This Row],[AWSTop]]))</f>
        <v>23.87155513079297</v>
      </c>
      <c r="AE12" s="1">
        <f>Targets_DW[[#This Row],[AWA+Leeway Top]]-Targets_DW[[#This Row],[ROT (deg)]]</f>
        <v>9.2715551307929704</v>
      </c>
      <c r="AF12" s="1">
        <f>Targets_DW[[#This Row],[CLEW (deg)]]+Targets_DW[[#This Row],[TWIST (deg)]]</f>
        <v>22</v>
      </c>
      <c r="AG12" s="7">
        <f>Targets_DW[[#This Row],[AWA+Leeway Top]]-Targets_DW[[#This Row],[CA6]]</f>
        <v>1.8715551307929701</v>
      </c>
      <c r="AH12" s="1">
        <f>Targets_DW[[#This Row],[AWA+Leeway]]-Targets_DW[[#This Row],[JibLead (deg)]]</f>
        <v>12.100514521228355</v>
      </c>
    </row>
    <row r="13" spans="1:34" x14ac:dyDescent="0.25">
      <c r="A13" s="6" t="s">
        <v>32</v>
      </c>
      <c r="B13" t="s">
        <v>33</v>
      </c>
      <c r="C13" t="s">
        <v>34</v>
      </c>
      <c r="D13">
        <v>24</v>
      </c>
      <c r="E13" t="str">
        <f t="shared" si="0"/>
        <v>Foiling_HSB2_HSRW2-24m</v>
      </c>
      <c r="F13">
        <v>36</v>
      </c>
      <c r="G13" s="1">
        <f>ABS(Targets_DW[[#This Row],[BSP (km/h)]]*COS(RADIANS(Targets_DW[[#This Row],[TWA (deg)]]+Targets_DW[[#This Row],[LEEWAY (deg)]])))</f>
        <v>66.471097742594083</v>
      </c>
      <c r="H13" s="1">
        <v>76</v>
      </c>
      <c r="I13" s="1">
        <v>151</v>
      </c>
      <c r="J13" s="1">
        <v>0</v>
      </c>
      <c r="K13" s="1">
        <v>-5.5</v>
      </c>
      <c r="L13" s="1">
        <v>-0.70906145000002396</v>
      </c>
      <c r="M13" s="1">
        <f>Targets_DW[[#This Row],[CANT (deg)]]-Targets_DW[[#This Row],[HEEL (deg)]]</f>
        <v>-4.7909385499999759</v>
      </c>
      <c r="N13" s="1">
        <v>1199.7871856000099</v>
      </c>
      <c r="O13" s="1">
        <v>0.3</v>
      </c>
      <c r="P13" s="1">
        <v>3.9</v>
      </c>
      <c r="Q13" s="1">
        <v>-3.1</v>
      </c>
      <c r="R13" s="1">
        <v>-21</v>
      </c>
      <c r="S13" s="1">
        <f>Targets_DW[[#This Row],[CLEW (deg)]]-0.5*Targets_DW[[#This Row],[CA1 (deg)]]</f>
        <v>14.5</v>
      </c>
      <c r="T13" s="1">
        <v>4</v>
      </c>
      <c r="U13" s="1">
        <v>17</v>
      </c>
      <c r="V13" s="1">
        <v>800</v>
      </c>
      <c r="W13" s="1">
        <v>8.9</v>
      </c>
      <c r="X13" s="1"/>
      <c r="Y13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47.812979017555755</v>
      </c>
      <c r="Z13" s="1">
        <f>DEGREES(ASIN(Targets_DW[[#This Row],[TWS (km/h)]]*SIN(RADIANS(Targets_DW[[#This Row],[TWA (deg)]]+Targets_DW[[#This Row],[LEEWAY (deg)]]))/Targets_DW[[#This Row],[AWS]]))</f>
        <v>21.409396270265717</v>
      </c>
      <c r="AA13" s="1">
        <f>Targets_DW[[#This Row],[AWA+Leeway]]-Targets_DW[[#This Row],[ROT (deg)]]</f>
        <v>6.9093962702657166</v>
      </c>
      <c r="AB13" s="1">
        <f>Targets_DW[[#This Row],[TWS (km/h)]]*(Targets_DW[[#This Row],[Wing]]/10)^0.1</f>
        <v>39.293763322244288</v>
      </c>
      <c r="AC13" s="1">
        <f>SQRT(Targets_DW[[#This Row],[TWSTop]]^2+Targets_DW[[#This Row],[BSP (km/h)]]^2+2*Targets_DW[[#This Row],[BSP (km/h)]]*Targets_DW[[#This Row],[TWSTop]]*COS(RADIANS(Targets_DW[[#This Row],[TWA (deg)]]+Targets_DW[[#This Row],[LEEWAY (deg)]])))</f>
        <v>45.784284105902906</v>
      </c>
      <c r="AD13" s="1">
        <f>DEGREES(ASIN(Targets_DW[[#This Row],[TWSTop]]*SIN(RADIANS(Targets_DW[[#This Row],[TWA (deg)]]+Targets_DW[[#This Row],[LEEWAY (deg)]]))/Targets_DW[[#This Row],[AWSTop]]))</f>
        <v>24.587443363161047</v>
      </c>
      <c r="AE13" s="1">
        <f>Targets_DW[[#This Row],[AWA+Leeway Top]]-Targets_DW[[#This Row],[ROT (deg)]]</f>
        <v>10.087443363161047</v>
      </c>
      <c r="AF13" s="1">
        <f>Targets_DW[[#This Row],[CLEW (deg)]]+Targets_DW[[#This Row],[TWIST (deg)]]</f>
        <v>21</v>
      </c>
      <c r="AG13" s="7">
        <f>Targets_DW[[#This Row],[AWA+Leeway Top]]-Targets_DW[[#This Row],[CA6]]</f>
        <v>3.5874433631610465</v>
      </c>
      <c r="AH13" s="1">
        <f>Targets_DW[[#This Row],[AWA+Leeway]]-Targets_DW[[#This Row],[JibLead (deg)]]</f>
        <v>12.509396270265716</v>
      </c>
    </row>
    <row r="14" spans="1:34" ht="15.75" thickBot="1" x14ac:dyDescent="0.3">
      <c r="A14" s="6" t="s">
        <v>32</v>
      </c>
      <c r="B14" t="s">
        <v>33</v>
      </c>
      <c r="C14" t="s">
        <v>34</v>
      </c>
      <c r="D14">
        <v>24</v>
      </c>
      <c r="E14" t="str">
        <f t="shared" si="0"/>
        <v>Foiling_HSB2_HSRW2-24m</v>
      </c>
      <c r="F14">
        <v>38</v>
      </c>
      <c r="G14" s="1">
        <f>ABS(Targets_DW[[#This Row],[BSP (km/h)]]*COS(RADIANS(Targets_DW[[#This Row],[TWA (deg)]]+Targets_DW[[#This Row],[LEEWAY (deg)]])))</f>
        <v>68.60750236250432</v>
      </c>
      <c r="H14" s="1">
        <v>77</v>
      </c>
      <c r="I14" s="1">
        <v>153</v>
      </c>
      <c r="J14" s="1">
        <v>0</v>
      </c>
      <c r="K14" s="1">
        <v>-6</v>
      </c>
      <c r="L14" s="1">
        <v>-0.70906145000002396</v>
      </c>
      <c r="M14" s="1">
        <f>Targets_DW[[#This Row],[CANT (deg)]]-Targets_DW[[#This Row],[HEEL (deg)]]</f>
        <v>-5.2909385499999759</v>
      </c>
      <c r="N14" s="1">
        <v>1199.7871856000099</v>
      </c>
      <c r="O14" s="1">
        <v>0.25</v>
      </c>
      <c r="P14" s="1">
        <v>3.7</v>
      </c>
      <c r="Q14" s="1">
        <v>-3.1</v>
      </c>
      <c r="R14" s="1">
        <v>-21</v>
      </c>
      <c r="S14" s="1">
        <f>Targets_DW[[#This Row],[CLEW (deg)]]-0.5*Targets_DW[[#This Row],[CA1 (deg)]]</f>
        <v>14.5</v>
      </c>
      <c r="T14" s="1">
        <v>4</v>
      </c>
      <c r="U14" s="1">
        <v>16.399999999999999</v>
      </c>
      <c r="V14" s="1">
        <v>730</v>
      </c>
      <c r="W14" s="1">
        <v>9</v>
      </c>
      <c r="X14" s="1"/>
      <c r="Y14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46.463209321458535</v>
      </c>
      <c r="Z14" s="1">
        <f>DEGREES(ASIN(Targets_DW[[#This Row],[TWS (km/h)]]*SIN(RADIANS(Targets_DW[[#This Row],[TWA (deg)]]+Targets_DW[[#This Row],[LEEWAY (deg)]]))/Targets_DW[[#This Row],[AWS]]))</f>
        <v>21.795613957938102</v>
      </c>
      <c r="AA14" s="1">
        <f>Targets_DW[[#This Row],[AWA+Leeway]]-Targets_DW[[#This Row],[ROT (deg)]]</f>
        <v>7.2956139579381016</v>
      </c>
      <c r="AB14" s="1">
        <f>Targets_DW[[#This Row],[TWS (km/h)]]*(Targets_DW[[#This Row],[Wing]]/10)^0.1</f>
        <v>41.476750173480085</v>
      </c>
      <c r="AC14" s="1">
        <f>SQRT(Targets_DW[[#This Row],[TWSTop]]^2+Targets_DW[[#This Row],[BSP (km/h)]]^2+2*Targets_DW[[#This Row],[BSP (km/h)]]*Targets_DW[[#This Row],[TWSTop]]*COS(RADIANS(Targets_DW[[#This Row],[TWA (deg)]]+Targets_DW[[#This Row],[LEEWAY (deg)]])))</f>
        <v>44.250291907751382</v>
      </c>
      <c r="AD14" s="1">
        <f>DEGREES(ASIN(Targets_DW[[#This Row],[TWSTop]]*SIN(RADIANS(Targets_DW[[#This Row],[TWA (deg)]]+Targets_DW[[#This Row],[LEEWAY (deg)]]))/Targets_DW[[#This Row],[AWSTop]]))</f>
        <v>25.184535545095663</v>
      </c>
      <c r="AE14" s="1">
        <f>Targets_DW[[#This Row],[AWA+Leeway Top]]-Targets_DW[[#This Row],[ROT (deg)]]</f>
        <v>10.684535545095663</v>
      </c>
      <c r="AF14" s="1">
        <f>Targets_DW[[#This Row],[CLEW (deg)]]+Targets_DW[[#This Row],[TWIST (deg)]]</f>
        <v>20.399999999999999</v>
      </c>
      <c r="AG14" s="7">
        <f>Targets_DW[[#This Row],[AWA+Leeway Top]]-Targets_DW[[#This Row],[CA6]]</f>
        <v>4.7845355450956646</v>
      </c>
      <c r="AH14" s="1">
        <f>Targets_DW[[#This Row],[AWA+Leeway]]-Targets_DW[[#This Row],[JibLead (deg)]]</f>
        <v>12.795613957938102</v>
      </c>
    </row>
    <row r="15" spans="1:34" x14ac:dyDescent="0.25">
      <c r="A15" s="2" t="s">
        <v>32</v>
      </c>
      <c r="B15" s="3" t="s">
        <v>33</v>
      </c>
      <c r="C15" s="3" t="s">
        <v>34</v>
      </c>
      <c r="D15" s="3">
        <v>18</v>
      </c>
      <c r="E15" s="3" t="str">
        <f t="shared" si="0"/>
        <v>Foiling_HSB2_HSRW2-18m</v>
      </c>
      <c r="F15" s="3">
        <v>20</v>
      </c>
      <c r="G15" s="4">
        <f>ABS(Targets_DW[[#This Row],[BSP (km/h)]]*COS(RADIANS(Targets_DW[[#This Row],[TWA (deg)]]+Targets_DW[[#This Row],[LEEWAY (deg)]])))</f>
        <v>41.331718826401953</v>
      </c>
      <c r="H15" s="4">
        <v>63</v>
      </c>
      <c r="I15" s="4">
        <v>130</v>
      </c>
      <c r="J15" s="4">
        <v>1</v>
      </c>
      <c r="K15" s="4">
        <v>-4</v>
      </c>
      <c r="L15" s="4">
        <v>2</v>
      </c>
      <c r="M15" s="4">
        <f>Targets_DW[[#This Row],[CANT (deg)]]-Targets_DW[[#This Row],[HEEL (deg)]]</f>
        <v>-6</v>
      </c>
      <c r="N15" s="4">
        <v>1300</v>
      </c>
      <c r="O15" s="4">
        <v>0.8</v>
      </c>
      <c r="P15" s="4">
        <v>4</v>
      </c>
      <c r="Q15" s="4">
        <v>-2.5</v>
      </c>
      <c r="R15" s="4">
        <v>-27</v>
      </c>
      <c r="S15" s="4">
        <f>Targets_DW[[#This Row],[CLEW (deg)]]-0.5*Targets_DW[[#This Row],[CA1 (deg)]]</f>
        <v>11.5</v>
      </c>
      <c r="T15" s="4">
        <v>-2</v>
      </c>
      <c r="U15" s="4">
        <v>5.9</v>
      </c>
      <c r="V15" s="4">
        <v>500</v>
      </c>
      <c r="W15" s="4">
        <v>7</v>
      </c>
      <c r="X15" s="4">
        <v>700</v>
      </c>
      <c r="Y15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52.112678370468757</v>
      </c>
      <c r="Z15" s="4">
        <f>DEGREES(ASIN(Targets_DW[[#This Row],[TWS (km/h)]]*SIN(RADIANS(Targets_DW[[#This Row],[TWA (deg)]]+Targets_DW[[#This Row],[LEEWAY (deg)]]))/Targets_DW[[#This Row],[AWS]]))</f>
        <v>16.836720977963303</v>
      </c>
      <c r="AA15" s="4">
        <f>Targets_DW[[#This Row],[AWA+Leeway]]-Targets_DW[[#This Row],[ROT (deg)]]</f>
        <v>5.3367209779633029</v>
      </c>
      <c r="AB15" s="4">
        <f>Targets_DW[[#This Row],[TWS (km/h)]]*(Targets_DW[[#This Row],[Wing]]/10)^0.1</f>
        <v>21.210809632280373</v>
      </c>
      <c r="AC15" s="4">
        <f>SQRT(Targets_DW[[#This Row],[TWSTop]]^2+Targets_DW[[#This Row],[BSP (km/h)]]^2+2*Targets_DW[[#This Row],[BSP (km/h)]]*Targets_DW[[#This Row],[TWSTop]]*COS(RADIANS(Targets_DW[[#This Row],[TWA (deg)]]+Targets_DW[[#This Row],[LEEWAY (deg)]])))</f>
        <v>51.6288679485938</v>
      </c>
      <c r="AD15" s="4">
        <f>DEGREES(ASIN(Targets_DW[[#This Row],[TWSTop]]*SIN(RADIANS(Targets_DW[[#This Row],[TWA (deg)]]+Targets_DW[[#This Row],[LEEWAY (deg)]]))/Targets_DW[[#This Row],[AWSTop]]))</f>
        <v>18.062793220828329</v>
      </c>
      <c r="AE15" s="4">
        <f>Targets_DW[[#This Row],[AWA+Leeway Top]]-Targets_DW[[#This Row],[ROT (deg)]]</f>
        <v>6.5627932208283291</v>
      </c>
      <c r="AF15" s="4">
        <f>Targets_DW[[#This Row],[CLEW (deg)]]+Targets_DW[[#This Row],[TWIST (deg)]]</f>
        <v>3.9000000000000004</v>
      </c>
      <c r="AG15" s="5">
        <f>Targets_DW[[#This Row],[AWA+Leeway Top]]-Targets_DW[[#This Row],[CA6]]</f>
        <v>14.162793220828329</v>
      </c>
      <c r="AH15" s="1">
        <f>Targets_DW[[#This Row],[AWA+Leeway]]-Targets_DW[[#This Row],[JibLead (deg)]]</f>
        <v>9.8367209779633029</v>
      </c>
    </row>
    <row r="16" spans="1:34" x14ac:dyDescent="0.25">
      <c r="A16" s="6" t="s">
        <v>32</v>
      </c>
      <c r="B16" t="s">
        <v>33</v>
      </c>
      <c r="C16" t="s">
        <v>34</v>
      </c>
      <c r="D16">
        <v>18</v>
      </c>
      <c r="E16" t="str">
        <f t="shared" ref="E16:E18" si="1">A16 &amp; "_" &amp; B16 &amp; "_" &amp; C16 &amp; "-" &amp; D16 &amp; "m"</f>
        <v>Foiling_HSB2_HSRW2-18m</v>
      </c>
      <c r="F16">
        <v>22</v>
      </c>
      <c r="G16" s="1">
        <f>ABS(Targets_DW[[#This Row],[BSP (km/h)]]*COS(RADIANS(Targets_DW[[#This Row],[TWA (deg)]]+Targets_DW[[#This Row],[LEEWAY (deg)]])))</f>
        <v>45.693890124187391</v>
      </c>
      <c r="H16" s="1">
        <v>67</v>
      </c>
      <c r="I16" s="1">
        <v>132</v>
      </c>
      <c r="J16" s="1">
        <v>1</v>
      </c>
      <c r="K16" s="1">
        <v>-5</v>
      </c>
      <c r="L16" s="1">
        <v>1.5</v>
      </c>
      <c r="M16" s="1">
        <f>Targets_DW[[#This Row],[CANT (deg)]]-Targets_DW[[#This Row],[HEEL (deg)]]</f>
        <v>-6.5</v>
      </c>
      <c r="N16" s="1">
        <v>1300</v>
      </c>
      <c r="O16" s="1">
        <v>0.7</v>
      </c>
      <c r="P16" s="1">
        <v>3.4</v>
      </c>
      <c r="Q16" s="1">
        <v>-2.2999999999999998</v>
      </c>
      <c r="R16" s="1">
        <v>-26</v>
      </c>
      <c r="S16" s="1">
        <f>Targets_DW[[#This Row],[CLEW (deg)]]-0.5*Targets_DW[[#This Row],[CA1 (deg)]]</f>
        <v>11.5</v>
      </c>
      <c r="T16" s="1">
        <v>-1.5</v>
      </c>
      <c r="U16" s="1">
        <v>6</v>
      </c>
      <c r="V16" s="1">
        <v>600</v>
      </c>
      <c r="W16" s="1">
        <v>7</v>
      </c>
      <c r="X16" s="1">
        <v>800</v>
      </c>
      <c r="Y16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54.4285663465037</v>
      </c>
      <c r="Z16" s="1">
        <f>DEGREES(ASIN(Targets_DW[[#This Row],[TWS (km/h)]]*SIN(RADIANS(Targets_DW[[#This Row],[TWA (deg)]]+Targets_DW[[#This Row],[LEEWAY (deg)]]))/Targets_DW[[#This Row],[AWS]]))</f>
        <v>17.194287764424008</v>
      </c>
      <c r="AA16" s="1">
        <f>Targets_DW[[#This Row],[AWA+Leeway]]-Targets_DW[[#This Row],[ROT (deg)]]</f>
        <v>5.6942877644240077</v>
      </c>
      <c r="AB16" s="1">
        <f>Targets_DW[[#This Row],[TWS (km/h)]]*(Targets_DW[[#This Row],[Wing]]/10)^0.1</f>
        <v>23.331890595508412</v>
      </c>
      <c r="AC16" s="1">
        <f>SQRT(Targets_DW[[#This Row],[TWSTop]]^2+Targets_DW[[#This Row],[BSP (km/h)]]^2+2*Targets_DW[[#This Row],[BSP (km/h)]]*Targets_DW[[#This Row],[TWSTop]]*COS(RADIANS(Targets_DW[[#This Row],[TWA (deg)]]+Targets_DW[[#This Row],[LEEWAY (deg)]])))</f>
        <v>53.862114962553491</v>
      </c>
      <c r="AD16" s="1">
        <f>DEGREES(ASIN(Targets_DW[[#This Row],[TWSTop]]*SIN(RADIANS(Targets_DW[[#This Row],[TWA (deg)]]+Targets_DW[[#This Row],[LEEWAY (deg)]]))/Targets_DW[[#This Row],[AWSTop]]))</f>
        <v>18.469901044994256</v>
      </c>
      <c r="AE16" s="1">
        <f>Targets_DW[[#This Row],[AWA+Leeway Top]]-Targets_DW[[#This Row],[ROT (deg)]]</f>
        <v>6.9699010449942556</v>
      </c>
      <c r="AF16" s="1">
        <f>Targets_DW[[#This Row],[CLEW (deg)]]+Targets_DW[[#This Row],[TWIST (deg)]]</f>
        <v>4.5</v>
      </c>
      <c r="AG16" s="7">
        <f>Targets_DW[[#This Row],[AWA+Leeway Top]]-Targets_DW[[#This Row],[CA6]]</f>
        <v>13.969901044994256</v>
      </c>
      <c r="AH16" s="1">
        <f>Targets_DW[[#This Row],[AWA+Leeway]]-Targets_DW[[#This Row],[JibLead (deg)]]</f>
        <v>10.194287764424008</v>
      </c>
    </row>
    <row r="17" spans="1:34" x14ac:dyDescent="0.25">
      <c r="A17" s="6" t="s">
        <v>32</v>
      </c>
      <c r="B17" t="s">
        <v>33</v>
      </c>
      <c r="C17" t="s">
        <v>34</v>
      </c>
      <c r="D17">
        <v>18</v>
      </c>
      <c r="E17" t="str">
        <f t="shared" si="1"/>
        <v>Foiling_HSB2_HSRW2-18m</v>
      </c>
      <c r="F17">
        <v>24</v>
      </c>
      <c r="G17" s="1">
        <f>ABS(Targets_DW[[#This Row],[BSP (km/h)]]*COS(RADIANS(Targets_DW[[#This Row],[TWA (deg)]]+Targets_DW[[#This Row],[LEEWAY (deg)]])))</f>
        <v>51.073125824044233</v>
      </c>
      <c r="H17" s="1">
        <v>71</v>
      </c>
      <c r="I17" s="1">
        <v>135</v>
      </c>
      <c r="J17" s="1">
        <v>1</v>
      </c>
      <c r="K17" s="1">
        <v>-6</v>
      </c>
      <c r="L17" s="1">
        <v>1</v>
      </c>
      <c r="M17" s="1">
        <f>Targets_DW[[#This Row],[CANT (deg)]]-Targets_DW[[#This Row],[HEEL (deg)]]</f>
        <v>-7</v>
      </c>
      <c r="N17" s="1">
        <v>1280</v>
      </c>
      <c r="O17" s="1">
        <v>0.6</v>
      </c>
      <c r="P17" s="1">
        <v>2.8</v>
      </c>
      <c r="Q17" s="1">
        <v>-2.1</v>
      </c>
      <c r="R17" s="1">
        <v>-25</v>
      </c>
      <c r="S17" s="1">
        <f>Targets_DW[[#This Row],[CLEW (deg)]]-0.5*Targets_DW[[#This Row],[CA1 (deg)]]</f>
        <v>11.5</v>
      </c>
      <c r="T17" s="1">
        <v>-1</v>
      </c>
      <c r="U17" s="1">
        <v>6.1</v>
      </c>
      <c r="V17" s="1">
        <v>700</v>
      </c>
      <c r="W17" s="1">
        <v>7.2</v>
      </c>
      <c r="X17" s="1">
        <v>900</v>
      </c>
      <c r="Y17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56.262687106517376</v>
      </c>
      <c r="Z17" s="1">
        <f>DEGREES(ASIN(Targets_DW[[#This Row],[TWS (km/h)]]*SIN(RADIANS(Targets_DW[[#This Row],[TWA (deg)]]+Targets_DW[[#This Row],[LEEWAY (deg)]]))/Targets_DW[[#This Row],[AWS]]))</f>
        <v>17.23675143044321</v>
      </c>
      <c r="AA17" s="1">
        <f>Targets_DW[[#This Row],[AWA+Leeway]]-Targets_DW[[#This Row],[ROT (deg)]]</f>
        <v>5.7367514304432099</v>
      </c>
      <c r="AB17" s="1">
        <f>Targets_DW[[#This Row],[TWS (km/h)]]*(Targets_DW[[#This Row],[Wing]]/10)^0.1</f>
        <v>25.452971558736451</v>
      </c>
      <c r="AC17" s="1">
        <f>SQRT(Targets_DW[[#This Row],[TWSTop]]^2+Targets_DW[[#This Row],[BSP (km/h)]]^2+2*Targets_DW[[#This Row],[BSP (km/h)]]*Targets_DW[[#This Row],[TWSTop]]*COS(RADIANS(Targets_DW[[#This Row],[TWA (deg)]]+Targets_DW[[#This Row],[LEEWAY (deg)]])))</f>
        <v>55.578126301086428</v>
      </c>
      <c r="AD17" s="1">
        <f>DEGREES(ASIN(Targets_DW[[#This Row],[TWSTop]]*SIN(RADIANS(Targets_DW[[#This Row],[TWA (deg)]]+Targets_DW[[#This Row],[LEEWAY (deg)]]))/Targets_DW[[#This Row],[AWSTop]]))</f>
        <v>18.549927677610459</v>
      </c>
      <c r="AE17" s="1">
        <f>Targets_DW[[#This Row],[AWA+Leeway Top]]-Targets_DW[[#This Row],[ROT (deg)]]</f>
        <v>7.0499276776104587</v>
      </c>
      <c r="AF17" s="1">
        <f>Targets_DW[[#This Row],[CLEW (deg)]]+Targets_DW[[#This Row],[TWIST (deg)]]</f>
        <v>5.0999999999999996</v>
      </c>
      <c r="AG17" s="7">
        <f>Targets_DW[[#This Row],[AWA+Leeway Top]]-Targets_DW[[#This Row],[CA6]]</f>
        <v>13.449927677610459</v>
      </c>
      <c r="AH17" s="1">
        <f>Targets_DW[[#This Row],[AWA+Leeway]]-Targets_DW[[#This Row],[JibLead (deg)]]</f>
        <v>10.036751430443211</v>
      </c>
    </row>
    <row r="18" spans="1:34" x14ac:dyDescent="0.25">
      <c r="A18" s="6" t="s">
        <v>32</v>
      </c>
      <c r="B18" t="s">
        <v>33</v>
      </c>
      <c r="C18" t="s">
        <v>34</v>
      </c>
      <c r="D18">
        <v>18</v>
      </c>
      <c r="E18" t="str">
        <f t="shared" si="1"/>
        <v>Foiling_HSB2_HSRW2-18m</v>
      </c>
      <c r="F18">
        <v>26</v>
      </c>
      <c r="G18" s="1">
        <f>ABS(Targets_DW[[#This Row],[BSP (km/h)]]*COS(RADIANS(Targets_DW[[#This Row],[TWA (deg)]]+Targets_DW[[#This Row],[LEEWAY (deg)]])))</f>
        <v>55.692046197945814</v>
      </c>
      <c r="H18" s="1">
        <v>75</v>
      </c>
      <c r="I18" s="1">
        <v>137</v>
      </c>
      <c r="J18" s="1">
        <v>0.95</v>
      </c>
      <c r="K18" s="1">
        <v>-7</v>
      </c>
      <c r="L18" s="1">
        <v>0.5</v>
      </c>
      <c r="M18" s="1">
        <f>Targets_DW[[#This Row],[CANT (deg)]]-Targets_DW[[#This Row],[HEEL (deg)]]</f>
        <v>-7.5</v>
      </c>
      <c r="N18" s="1">
        <v>1250</v>
      </c>
      <c r="O18" s="1">
        <v>0.46</v>
      </c>
      <c r="P18" s="1">
        <v>2.5</v>
      </c>
      <c r="Q18" s="1">
        <v>-1.9</v>
      </c>
      <c r="R18" s="1">
        <v>-24</v>
      </c>
      <c r="S18" s="1">
        <f>Targets_DW[[#This Row],[CLEW (deg)]]-0.5*Targets_DW[[#This Row],[CA1 (deg)]]</f>
        <v>11.5</v>
      </c>
      <c r="T18" s="1">
        <v>-0.5</v>
      </c>
      <c r="U18" s="1">
        <v>6.2</v>
      </c>
      <c r="V18" s="1">
        <v>800</v>
      </c>
      <c r="W18" s="1">
        <v>7.5</v>
      </c>
      <c r="X18" s="1">
        <v>1000</v>
      </c>
      <c r="Y18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58.352494357197948</v>
      </c>
      <c r="Z18" s="1">
        <f>DEGREES(ASIN(Targets_DW[[#This Row],[TWS (km/h)]]*SIN(RADIANS(Targets_DW[[#This Row],[TWA (deg)]]+Targets_DW[[#This Row],[LEEWAY (deg)]]))/Targets_DW[[#This Row],[AWS]]))</f>
        <v>17.363448662771965</v>
      </c>
      <c r="AA18" s="1">
        <f>Targets_DW[[#This Row],[AWA+Leeway]]-Targets_DW[[#This Row],[ROT (deg)]]</f>
        <v>5.8634486627719653</v>
      </c>
      <c r="AB18" s="1">
        <f>Targets_DW[[#This Row],[TWS (km/h)]]*(Targets_DW[[#This Row],[Wing]]/10)^0.1</f>
        <v>27.574052521964486</v>
      </c>
      <c r="AC18" s="1">
        <f>SQRT(Targets_DW[[#This Row],[TWSTop]]^2+Targets_DW[[#This Row],[BSP (km/h)]]^2+2*Targets_DW[[#This Row],[BSP (km/h)]]*Targets_DW[[#This Row],[TWSTop]]*COS(RADIANS(Targets_DW[[#This Row],[TWA (deg)]]+Targets_DW[[#This Row],[LEEWAY (deg)]])))</f>
        <v>57.567504363559095</v>
      </c>
      <c r="AD18" s="1">
        <f>DEGREES(ASIN(Targets_DW[[#This Row],[TWSTop]]*SIN(RADIANS(Targets_DW[[#This Row],[TWA (deg)]]+Targets_DW[[#This Row],[LEEWAY (deg)]]))/Targets_DW[[#This Row],[AWSTop]]))</f>
        <v>18.712218484316921</v>
      </c>
      <c r="AE18" s="1">
        <f>Targets_DW[[#This Row],[AWA+Leeway Top]]-Targets_DW[[#This Row],[ROT (deg)]]</f>
        <v>7.2122184843169208</v>
      </c>
      <c r="AF18" s="1">
        <f>Targets_DW[[#This Row],[CLEW (deg)]]+Targets_DW[[#This Row],[TWIST (deg)]]</f>
        <v>5.7</v>
      </c>
      <c r="AG18" s="7">
        <f>Targets_DW[[#This Row],[AWA+Leeway Top]]-Targets_DW[[#This Row],[CA6]]</f>
        <v>13.012218484316922</v>
      </c>
      <c r="AH18" s="1">
        <f>Targets_DW[[#This Row],[AWA+Leeway]]-Targets_DW[[#This Row],[JibLead (deg)]]</f>
        <v>9.8634486627719653</v>
      </c>
    </row>
    <row r="19" spans="1:34" x14ac:dyDescent="0.25">
      <c r="A19" s="6" t="s">
        <v>32</v>
      </c>
      <c r="B19" t="s">
        <v>33</v>
      </c>
      <c r="C19" t="s">
        <v>34</v>
      </c>
      <c r="D19">
        <v>18</v>
      </c>
      <c r="E19" t="str">
        <f t="shared" si="0"/>
        <v>Foiling_HSB2_HSRW2-18m</v>
      </c>
      <c r="F19">
        <v>28</v>
      </c>
      <c r="G19" s="1">
        <f>ABS(Targets_DW[[#This Row],[BSP (km/h)]]*COS(RADIANS(Targets_DW[[#This Row],[TWA (deg)]]+Targets_DW[[#This Row],[LEEWAY (deg)]])))</f>
        <v>59.66386927163768</v>
      </c>
      <c r="H19" s="1">
        <v>78</v>
      </c>
      <c r="I19" s="1">
        <v>139</v>
      </c>
      <c r="J19" s="1">
        <v>0.9</v>
      </c>
      <c r="K19" s="1">
        <v>-8</v>
      </c>
      <c r="L19" s="1">
        <v>0.2</v>
      </c>
      <c r="M19" s="1">
        <f>Targets_DW[[#This Row],[CANT (deg)]]-Targets_DW[[#This Row],[HEEL (deg)]]</f>
        <v>-8.1999999999999993</v>
      </c>
      <c r="N19" s="1">
        <v>1220</v>
      </c>
      <c r="O19" s="1">
        <v>0.38</v>
      </c>
      <c r="P19" s="1">
        <v>2.2000000000000002</v>
      </c>
      <c r="Q19" s="1">
        <v>-1.8</v>
      </c>
      <c r="R19" s="1">
        <v>-23.5</v>
      </c>
      <c r="S19" s="1">
        <f>Targets_DW[[#This Row],[CLEW (deg)]]-0.5*Targets_DW[[#This Row],[CA1 (deg)]]</f>
        <v>11.55</v>
      </c>
      <c r="T19" s="1">
        <v>-0.2</v>
      </c>
      <c r="U19" s="1">
        <v>6.3</v>
      </c>
      <c r="V19" s="1">
        <v>950</v>
      </c>
      <c r="W19" s="1">
        <v>7.8</v>
      </c>
      <c r="X19" s="1">
        <v>1050</v>
      </c>
      <c r="Y19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59.387063581122533</v>
      </c>
      <c r="Z19" s="1">
        <f>DEGREES(ASIN(Targets_DW[[#This Row],[TWS (km/h)]]*SIN(RADIANS(Targets_DW[[#This Row],[TWA (deg)]]+Targets_DW[[#This Row],[LEEWAY (deg)]]))/Targets_DW[[#This Row],[AWS]]))</f>
        <v>17.679575392859377</v>
      </c>
      <c r="AA19" s="1">
        <f>Targets_DW[[#This Row],[AWA+Leeway]]-Targets_DW[[#This Row],[ROT (deg)]]</f>
        <v>6.1295753928593761</v>
      </c>
      <c r="AB19" s="1">
        <f>Targets_DW[[#This Row],[TWS (km/h)]]*(Targets_DW[[#This Row],[Wing]]/10)^0.1</f>
        <v>29.695133485192525</v>
      </c>
      <c r="AC19" s="1">
        <f>SQRT(Targets_DW[[#This Row],[TWSTop]]^2+Targets_DW[[#This Row],[BSP (km/h)]]^2+2*Targets_DW[[#This Row],[BSP (km/h)]]*Targets_DW[[#This Row],[TWSTop]]*COS(RADIANS(Targets_DW[[#This Row],[TWA (deg)]]+Targets_DW[[#This Row],[LEEWAY (deg)]])))</f>
        <v>58.500836132269839</v>
      </c>
      <c r="AD19" s="1">
        <f>DEGREES(ASIN(Targets_DW[[#This Row],[TWSTop]]*SIN(RADIANS(Targets_DW[[#This Row],[TWA (deg)]]+Targets_DW[[#This Row],[LEEWAY (deg)]]))/Targets_DW[[#This Row],[AWSTop]]))</f>
        <v>19.084263647415366</v>
      </c>
      <c r="AE19" s="1">
        <f>Targets_DW[[#This Row],[AWA+Leeway Top]]-Targets_DW[[#This Row],[ROT (deg)]]</f>
        <v>7.534263647415365</v>
      </c>
      <c r="AF19" s="1">
        <f>Targets_DW[[#This Row],[CLEW (deg)]]+Targets_DW[[#This Row],[TWIST (deg)]]</f>
        <v>6.1</v>
      </c>
      <c r="AG19" s="7">
        <f>Targets_DW[[#This Row],[AWA+Leeway Top]]-Targets_DW[[#This Row],[CA6]]</f>
        <v>12.984263647415366</v>
      </c>
      <c r="AH19" s="1">
        <f>Targets_DW[[#This Row],[AWA+Leeway]]-Targets_DW[[#This Row],[JibLead (deg)]]</f>
        <v>9.8795753928593761</v>
      </c>
    </row>
    <row r="20" spans="1:34" x14ac:dyDescent="0.25">
      <c r="A20" s="6" t="s">
        <v>32</v>
      </c>
      <c r="B20" t="s">
        <v>33</v>
      </c>
      <c r="C20" t="s">
        <v>34</v>
      </c>
      <c r="D20">
        <v>18</v>
      </c>
      <c r="E20" t="str">
        <f t="shared" si="0"/>
        <v>Foiling_HSB2_HSRW2-18m</v>
      </c>
      <c r="F20">
        <v>30</v>
      </c>
      <c r="G20" s="1">
        <f>ABS(Targets_DW[[#This Row],[BSP (km/h)]]*COS(RADIANS(Targets_DW[[#This Row],[TWA (deg)]]+Targets_DW[[#This Row],[LEEWAY (deg)]])))</f>
        <v>62.911700560467921</v>
      </c>
      <c r="H20" s="1">
        <v>80</v>
      </c>
      <c r="I20" s="1">
        <v>141</v>
      </c>
      <c r="J20" s="1">
        <v>0.85</v>
      </c>
      <c r="K20" s="1">
        <v>-9</v>
      </c>
      <c r="L20" s="1">
        <v>0</v>
      </c>
      <c r="M20" s="1">
        <f>Targets_DW[[#This Row],[CANT (deg)]]-Targets_DW[[#This Row],[HEEL (deg)]]</f>
        <v>-9</v>
      </c>
      <c r="N20" s="1">
        <v>1200</v>
      </c>
      <c r="O20" s="1">
        <v>0.28999999999999998</v>
      </c>
      <c r="P20" s="1">
        <v>2</v>
      </c>
      <c r="Q20" s="1">
        <v>-1.7</v>
      </c>
      <c r="R20" s="1">
        <v>-22.5</v>
      </c>
      <c r="S20" s="1">
        <f>Targets_DW[[#This Row],[CLEW (deg)]]-0.5*Targets_DW[[#This Row],[CA1 (deg)]]</f>
        <v>11.65</v>
      </c>
      <c r="T20" s="1">
        <v>0.4</v>
      </c>
      <c r="U20" s="1">
        <v>6.4</v>
      </c>
      <c r="V20" s="1">
        <v>1100</v>
      </c>
      <c r="W20" s="1">
        <v>8.1</v>
      </c>
      <c r="X20" s="1">
        <v>1050</v>
      </c>
      <c r="Y20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59.374219711689051</v>
      </c>
      <c r="Z20" s="1">
        <f>DEGREES(ASIN(Targets_DW[[#This Row],[TWS (km/h)]]*SIN(RADIANS(Targets_DW[[#This Row],[TWA (deg)]]+Targets_DW[[#This Row],[LEEWAY (deg)]]))/Targets_DW[[#This Row],[AWS]]))</f>
        <v>18.186824422868192</v>
      </c>
      <c r="AA20" s="1">
        <f>Targets_DW[[#This Row],[AWA+Leeway]]-Targets_DW[[#This Row],[ROT (deg)]]</f>
        <v>6.5368244228681913</v>
      </c>
      <c r="AB20" s="1">
        <f>Targets_DW[[#This Row],[TWS (km/h)]]*(Targets_DW[[#This Row],[Wing]]/10)^0.1</f>
        <v>31.81621444842056</v>
      </c>
      <c r="AC20" s="1">
        <f>SQRT(Targets_DW[[#This Row],[TWSTop]]^2+Targets_DW[[#This Row],[BSP (km/h)]]^2+2*Targets_DW[[#This Row],[BSP (km/h)]]*Targets_DW[[#This Row],[TWSTop]]*COS(RADIANS(Targets_DW[[#This Row],[TWA (deg)]]+Targets_DW[[#This Row],[LEEWAY (deg)]])))</f>
        <v>58.387046415575348</v>
      </c>
      <c r="AD20" s="1">
        <f>DEGREES(ASIN(Targets_DW[[#This Row],[TWSTop]]*SIN(RADIANS(Targets_DW[[#This Row],[TWA (deg)]]+Targets_DW[[#This Row],[LEEWAY (deg)]]))/Targets_DW[[#This Row],[AWSTop]]))</f>
        <v>19.670391487962952</v>
      </c>
      <c r="AE20" s="1">
        <f>Targets_DW[[#This Row],[AWA+Leeway Top]]-Targets_DW[[#This Row],[ROT (deg)]]</f>
        <v>8.0203914879629519</v>
      </c>
      <c r="AF20" s="1">
        <f>Targets_DW[[#This Row],[CLEW (deg)]]+Targets_DW[[#This Row],[TWIST (deg)]]</f>
        <v>6.8000000000000007</v>
      </c>
      <c r="AG20" s="7">
        <f>Targets_DW[[#This Row],[AWA+Leeway Top]]-Targets_DW[[#This Row],[CA6]]</f>
        <v>12.870391487962952</v>
      </c>
      <c r="AH20" s="1">
        <f>Targets_DW[[#This Row],[AWA+Leeway]]-Targets_DW[[#This Row],[JibLead (deg)]]</f>
        <v>10.086824422868192</v>
      </c>
    </row>
    <row r="21" spans="1:34" x14ac:dyDescent="0.25">
      <c r="A21" s="6" t="s">
        <v>32</v>
      </c>
      <c r="B21" t="s">
        <v>33</v>
      </c>
      <c r="C21" t="s">
        <v>34</v>
      </c>
      <c r="D21">
        <v>18</v>
      </c>
      <c r="E21" t="str">
        <f t="shared" si="0"/>
        <v>Foiling_HSB2_HSRW2-18m</v>
      </c>
      <c r="F21">
        <v>32</v>
      </c>
      <c r="G21" s="1">
        <f>ABS(Targets_DW[[#This Row],[BSP (km/h)]]*COS(RADIANS(Targets_DW[[#This Row],[TWA (deg)]]+Targets_DW[[#This Row],[LEEWAY (deg)]])))</f>
        <v>64.518923359959913</v>
      </c>
      <c r="H21" s="1">
        <v>81</v>
      </c>
      <c r="I21" s="1">
        <v>142</v>
      </c>
      <c r="J21" s="1">
        <v>0.8</v>
      </c>
      <c r="K21" s="1">
        <v>-9.5</v>
      </c>
      <c r="L21" s="1">
        <v>0</v>
      </c>
      <c r="M21" s="1">
        <f>Targets_DW[[#This Row],[CANT (deg)]]-Targets_DW[[#This Row],[HEEL (deg)]]</f>
        <v>-9.5</v>
      </c>
      <c r="N21" s="1">
        <v>1200</v>
      </c>
      <c r="O21" s="1">
        <v>0.21</v>
      </c>
      <c r="P21" s="1">
        <v>1.8</v>
      </c>
      <c r="Q21" s="1">
        <v>-1.6</v>
      </c>
      <c r="R21" s="1">
        <v>-21.5</v>
      </c>
      <c r="S21" s="1">
        <f>Targets_DW[[#This Row],[CLEW (deg)]]-0.5*Targets_DW[[#This Row],[CA1 (deg)]]</f>
        <v>11.75</v>
      </c>
      <c r="T21" s="1">
        <v>1</v>
      </c>
      <c r="U21" s="1">
        <v>6.5</v>
      </c>
      <c r="V21" s="1">
        <v>1250</v>
      </c>
      <c r="W21" s="1">
        <v>8.4</v>
      </c>
      <c r="X21" s="1">
        <v>1020</v>
      </c>
      <c r="Y21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58.785958399626061</v>
      </c>
      <c r="Z21" s="1">
        <f>DEGREES(ASIN(Targets_DW[[#This Row],[TWS (km/h)]]*SIN(RADIANS(Targets_DW[[#This Row],[TWA (deg)]]+Targets_DW[[#This Row],[LEEWAY (deg)]]))/Targets_DW[[#This Row],[AWS]]))</f>
        <v>19.214893947421295</v>
      </c>
      <c r="AA21" s="1">
        <f>Targets_DW[[#This Row],[AWA+Leeway]]-Targets_DW[[#This Row],[ROT (deg)]]</f>
        <v>7.4648939474212952</v>
      </c>
      <c r="AB21" s="1">
        <f>Targets_DW[[#This Row],[TWS (km/h)]]*(Targets_DW[[#This Row],[Wing]]/10)^0.1</f>
        <v>33.937295411648599</v>
      </c>
      <c r="AC21" s="1">
        <f>SQRT(Targets_DW[[#This Row],[TWSTop]]^2+Targets_DW[[#This Row],[BSP (km/h)]]^2+2*Targets_DW[[#This Row],[BSP (km/h)]]*Targets_DW[[#This Row],[TWSTop]]*COS(RADIANS(Targets_DW[[#This Row],[TWA (deg)]]+Targets_DW[[#This Row],[LEEWAY (deg)]])))</f>
        <v>57.736855616153484</v>
      </c>
      <c r="AD21" s="1">
        <f>DEGREES(ASIN(Targets_DW[[#This Row],[TWSTop]]*SIN(RADIANS(Targets_DW[[#This Row],[TWA (deg)]]+Targets_DW[[#This Row],[LEEWAY (deg)]]))/Targets_DW[[#This Row],[AWSTop]]))</f>
        <v>20.816666505130584</v>
      </c>
      <c r="AE21" s="1">
        <f>Targets_DW[[#This Row],[AWA+Leeway Top]]-Targets_DW[[#This Row],[ROT (deg)]]</f>
        <v>9.0666665051305841</v>
      </c>
      <c r="AF21" s="1">
        <f>Targets_DW[[#This Row],[CLEW (deg)]]+Targets_DW[[#This Row],[TWIST (deg)]]</f>
        <v>7.5</v>
      </c>
      <c r="AG21" s="7">
        <f>Targets_DW[[#This Row],[AWA+Leeway Top]]-Targets_DW[[#This Row],[CA6]]</f>
        <v>13.316666505130584</v>
      </c>
      <c r="AH21" s="1">
        <f>Targets_DW[[#This Row],[AWA+Leeway]]-Targets_DW[[#This Row],[JibLead (deg)]]</f>
        <v>10.814893947421295</v>
      </c>
    </row>
    <row r="22" spans="1:34" x14ac:dyDescent="0.25">
      <c r="A22" s="6" t="s">
        <v>32</v>
      </c>
      <c r="B22" t="s">
        <v>33</v>
      </c>
      <c r="C22" t="s">
        <v>34</v>
      </c>
      <c r="D22">
        <v>18</v>
      </c>
      <c r="E22" t="str">
        <f t="shared" si="0"/>
        <v>Foiling_HSB2_HSRW2-18m</v>
      </c>
      <c r="F22">
        <v>34</v>
      </c>
      <c r="G22" s="1">
        <f>ABS(Targets_DW[[#This Row],[BSP (km/h)]]*COS(RADIANS(Targets_DW[[#This Row],[TWA (deg)]]+Targets_DW[[#This Row],[LEEWAY (deg)]])))</f>
        <v>66.128457549933572</v>
      </c>
      <c r="H22" s="1">
        <v>82</v>
      </c>
      <c r="I22" s="1">
        <v>143</v>
      </c>
      <c r="J22" s="1">
        <v>0.75</v>
      </c>
      <c r="K22" s="1">
        <v>-10</v>
      </c>
      <c r="L22" s="1">
        <v>0</v>
      </c>
      <c r="M22" s="1">
        <f>Targets_DW[[#This Row],[CANT (deg)]]-Targets_DW[[#This Row],[HEEL (deg)]]</f>
        <v>-10</v>
      </c>
      <c r="N22" s="1">
        <v>1200</v>
      </c>
      <c r="O22" s="1">
        <v>0.1</v>
      </c>
      <c r="P22" s="1">
        <v>1.7</v>
      </c>
      <c r="Q22" s="1">
        <v>-1.5</v>
      </c>
      <c r="R22" s="1">
        <v>-21</v>
      </c>
      <c r="S22" s="1">
        <f>Targets_DW[[#This Row],[CLEW (deg)]]-0.5*Targets_DW[[#This Row],[CA1 (deg)]]</f>
        <v>12</v>
      </c>
      <c r="T22" s="1">
        <v>1.5</v>
      </c>
      <c r="U22" s="1">
        <v>6.9</v>
      </c>
      <c r="V22" s="1">
        <v>1400</v>
      </c>
      <c r="W22" s="1">
        <v>8.6999999999999993</v>
      </c>
      <c r="X22" s="1">
        <v>980</v>
      </c>
      <c r="Y22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58.165839516029649</v>
      </c>
      <c r="Z22" s="1">
        <f>DEGREES(ASIN(Targets_DW[[#This Row],[TWS (km/h)]]*SIN(RADIANS(Targets_DW[[#This Row],[TWA (deg)]]+Targets_DW[[#This Row],[LEEWAY (deg)]]))/Targets_DW[[#This Row],[AWS]]))</f>
        <v>20.220960249239262</v>
      </c>
      <c r="AA22" s="1">
        <f>Targets_DW[[#This Row],[AWA+Leeway]]-Targets_DW[[#This Row],[ROT (deg)]]</f>
        <v>8.2209602492392619</v>
      </c>
      <c r="AB22" s="1">
        <f>Targets_DW[[#This Row],[TWS (km/h)]]*(Targets_DW[[#This Row],[Wing]]/10)^0.1</f>
        <v>36.058376374876637</v>
      </c>
      <c r="AC22" s="1">
        <f>SQRT(Targets_DW[[#This Row],[TWSTop]]^2+Targets_DW[[#This Row],[BSP (km/h)]]^2+2*Targets_DW[[#This Row],[BSP (km/h)]]*Targets_DW[[#This Row],[TWSTop]]*COS(RADIANS(Targets_DW[[#This Row],[TWA (deg)]]+Targets_DW[[#This Row],[LEEWAY (deg)]])))</f>
        <v>57.054683277897063</v>
      </c>
      <c r="AD22" s="1">
        <f>DEGREES(ASIN(Targets_DW[[#This Row],[TWSTop]]*SIN(RADIANS(Targets_DW[[#This Row],[TWA (deg)]]+Targets_DW[[#This Row],[LEEWAY (deg)]]))/Targets_DW[[#This Row],[AWSTop]]))</f>
        <v>21.944345722362495</v>
      </c>
      <c r="AE22" s="1">
        <f>Targets_DW[[#This Row],[AWA+Leeway Top]]-Targets_DW[[#This Row],[ROT (deg)]]</f>
        <v>9.9443457223624954</v>
      </c>
      <c r="AF22" s="1">
        <f>Targets_DW[[#This Row],[CLEW (deg)]]+Targets_DW[[#This Row],[TWIST (deg)]]</f>
        <v>8.4</v>
      </c>
      <c r="AG22" s="7">
        <f>Targets_DW[[#This Row],[AWA+Leeway Top]]-Targets_DW[[#This Row],[CA6]]</f>
        <v>13.544345722362495</v>
      </c>
      <c r="AH22" s="1">
        <f>Targets_DW[[#This Row],[AWA+Leeway]]-Targets_DW[[#This Row],[JibLead (deg)]]</f>
        <v>11.520960249239263</v>
      </c>
    </row>
    <row r="23" spans="1:34" x14ac:dyDescent="0.25">
      <c r="A23" s="6" t="s">
        <v>32</v>
      </c>
      <c r="B23" t="s">
        <v>33</v>
      </c>
      <c r="C23" t="s">
        <v>34</v>
      </c>
      <c r="D23">
        <v>18</v>
      </c>
      <c r="E23" t="str">
        <f t="shared" si="0"/>
        <v>Foiling_HSB2_HSRW2-18m</v>
      </c>
      <c r="F23">
        <v>36</v>
      </c>
      <c r="G23" s="1">
        <f>ABS(Targets_DW[[#This Row],[BSP (km/h)]]*COS(RADIANS(Targets_DW[[#This Row],[TWA (deg)]]+Targets_DW[[#This Row],[LEEWAY (deg)]])))</f>
        <v>67.78124907841935</v>
      </c>
      <c r="H23" s="1">
        <v>83</v>
      </c>
      <c r="I23" s="1">
        <v>144</v>
      </c>
      <c r="J23" s="1">
        <v>0.75</v>
      </c>
      <c r="K23" s="1">
        <v>-10</v>
      </c>
      <c r="L23" s="1">
        <v>0</v>
      </c>
      <c r="M23" s="1">
        <f>Targets_DW[[#This Row],[CANT (deg)]]-Targets_DW[[#This Row],[HEEL (deg)]]</f>
        <v>-10</v>
      </c>
      <c r="N23" s="1">
        <v>1200</v>
      </c>
      <c r="O23" s="1">
        <v>0.03</v>
      </c>
      <c r="P23" s="1">
        <v>1.6</v>
      </c>
      <c r="Q23" s="1">
        <v>-1.5</v>
      </c>
      <c r="R23" s="1">
        <v>-20.5</v>
      </c>
      <c r="S23" s="1">
        <f>Targets_DW[[#This Row],[CLEW (deg)]]-0.5*Targets_DW[[#This Row],[CA1 (deg)]]</f>
        <v>12.25</v>
      </c>
      <c r="T23" s="1">
        <v>2</v>
      </c>
      <c r="U23" s="1">
        <v>7.6</v>
      </c>
      <c r="V23" s="1">
        <v>1400</v>
      </c>
      <c r="W23" s="1">
        <v>9</v>
      </c>
      <c r="X23" s="1">
        <v>960</v>
      </c>
      <c r="Y23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57.486955619112472</v>
      </c>
      <c r="Z23" s="1">
        <f>DEGREES(ASIN(Targets_DW[[#This Row],[TWS (km/h)]]*SIN(RADIANS(Targets_DW[[#This Row],[TWA (deg)]]+Targets_DW[[#This Row],[LEEWAY (deg)]]))/Targets_DW[[#This Row],[AWS]]))</f>
        <v>21.187740144081335</v>
      </c>
      <c r="AA23" s="1">
        <f>Targets_DW[[#This Row],[AWA+Leeway]]-Targets_DW[[#This Row],[ROT (deg)]]</f>
        <v>8.9377401440813351</v>
      </c>
      <c r="AB23" s="1">
        <f>Targets_DW[[#This Row],[TWS (km/h)]]*(Targets_DW[[#This Row],[Wing]]/10)^0.1</f>
        <v>38.179457338104676</v>
      </c>
      <c r="AC23" s="1">
        <f>SQRT(Targets_DW[[#This Row],[TWSTop]]^2+Targets_DW[[#This Row],[BSP (km/h)]]^2+2*Targets_DW[[#This Row],[BSP (km/h)]]*Targets_DW[[#This Row],[TWSTop]]*COS(RADIANS(Targets_DW[[#This Row],[TWA (deg)]]+Targets_DW[[#This Row],[LEEWAY (deg)]])))</f>
        <v>56.311351853833507</v>
      </c>
      <c r="AD23" s="1">
        <f>DEGREES(ASIN(Targets_DW[[#This Row],[TWSTop]]*SIN(RADIANS(Targets_DW[[#This Row],[TWA (deg)]]+Targets_DW[[#This Row],[LEEWAY (deg)]]))/Targets_DW[[#This Row],[AWSTop]]))</f>
        <v>23.035919993796846</v>
      </c>
      <c r="AE23" s="1">
        <f>Targets_DW[[#This Row],[AWA+Leeway Top]]-Targets_DW[[#This Row],[ROT (deg)]]</f>
        <v>10.785919993796846</v>
      </c>
      <c r="AF23" s="1">
        <f>Targets_DW[[#This Row],[CLEW (deg)]]+Targets_DW[[#This Row],[TWIST (deg)]]</f>
        <v>9.6</v>
      </c>
      <c r="AG23" s="7">
        <f>Targets_DW[[#This Row],[AWA+Leeway Top]]-Targets_DW[[#This Row],[CA6]]</f>
        <v>13.435919993796846</v>
      </c>
      <c r="AH23" s="1">
        <f>Targets_DW[[#This Row],[AWA+Leeway]]-Targets_DW[[#This Row],[JibLead (deg)]]</f>
        <v>12.187740144081335</v>
      </c>
    </row>
    <row r="24" spans="1:34" x14ac:dyDescent="0.25">
      <c r="A24" s="6" t="s">
        <v>32</v>
      </c>
      <c r="B24" t="s">
        <v>33</v>
      </c>
      <c r="C24" t="s">
        <v>34</v>
      </c>
      <c r="D24">
        <v>18</v>
      </c>
      <c r="E24" t="str">
        <f t="shared" si="0"/>
        <v>Foiling_HSB2_HSRW2-18m</v>
      </c>
      <c r="F24">
        <v>38</v>
      </c>
      <c r="G24" s="1">
        <f>ABS(Targets_DW[[#This Row],[BSP (km/h)]]*COS(RADIANS(Targets_DW[[#This Row],[TWA (deg)]]+Targets_DW[[#This Row],[LEEWAY (deg)]])))</f>
        <v>69.433538926683838</v>
      </c>
      <c r="H24" s="1">
        <v>84</v>
      </c>
      <c r="I24" s="1">
        <v>145</v>
      </c>
      <c r="J24" s="1">
        <v>0.75</v>
      </c>
      <c r="K24" s="1">
        <v>-10</v>
      </c>
      <c r="L24" s="1">
        <v>-0.1</v>
      </c>
      <c r="M24" s="1">
        <f>Targets_DW[[#This Row],[CANT (deg)]]-Targets_DW[[#This Row],[HEEL (deg)]]</f>
        <v>-9.9</v>
      </c>
      <c r="N24" s="1">
        <v>1200</v>
      </c>
      <c r="O24" s="1">
        <v>0</v>
      </c>
      <c r="P24" s="1">
        <v>1.5</v>
      </c>
      <c r="Q24" s="1">
        <v>-1.5</v>
      </c>
      <c r="R24" s="1">
        <v>-20</v>
      </c>
      <c r="S24" s="1">
        <f>Targets_DW[[#This Row],[CLEW (deg)]]-0.5*Targets_DW[[#This Row],[CA1 (deg)]]</f>
        <v>12.5</v>
      </c>
      <c r="T24" s="1">
        <v>2.5</v>
      </c>
      <c r="U24" s="1">
        <v>8.4</v>
      </c>
      <c r="V24" s="1">
        <v>1350</v>
      </c>
      <c r="W24" s="1">
        <v>9</v>
      </c>
      <c r="X24" s="1">
        <v>920</v>
      </c>
      <c r="Y24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56.77192124256522</v>
      </c>
      <c r="Z24" s="1">
        <f>DEGREES(ASIN(Targets_DW[[#This Row],[TWS (km/h)]]*SIN(RADIANS(Targets_DW[[#This Row],[TWA (deg)]]+Targets_DW[[#This Row],[LEEWAY (deg)]]))/Targets_DW[[#This Row],[AWS]]))</f>
        <v>22.130080867374428</v>
      </c>
      <c r="AA24" s="1">
        <f>Targets_DW[[#This Row],[AWA+Leeway]]-Targets_DW[[#This Row],[ROT (deg)]]</f>
        <v>9.6300808673744278</v>
      </c>
      <c r="AB24" s="1">
        <f>Targets_DW[[#This Row],[TWS (km/h)]]*(Targets_DW[[#This Row],[Wing]]/10)^0.1</f>
        <v>40.300538301332708</v>
      </c>
      <c r="AC24" s="1">
        <f>SQRT(Targets_DW[[#This Row],[TWSTop]]^2+Targets_DW[[#This Row],[BSP (km/h)]]^2+2*Targets_DW[[#This Row],[BSP (km/h)]]*Targets_DW[[#This Row],[TWSTop]]*COS(RADIANS(Targets_DW[[#This Row],[TWA (deg)]]+Targets_DW[[#This Row],[LEEWAY (deg)]])))</f>
        <v>55.531211021851391</v>
      </c>
      <c r="AD24" s="1">
        <f>DEGREES(ASIN(Targets_DW[[#This Row],[TWSTop]]*SIN(RADIANS(Targets_DW[[#This Row],[TWA (deg)]]+Targets_DW[[#This Row],[LEEWAY (deg)]]))/Targets_DW[[#This Row],[AWSTop]]))</f>
        <v>24.107072008490061</v>
      </c>
      <c r="AE24" s="1">
        <f>Targets_DW[[#This Row],[AWA+Leeway Top]]-Targets_DW[[#This Row],[ROT (deg)]]</f>
        <v>11.607072008490061</v>
      </c>
      <c r="AF24" s="1">
        <f>Targets_DW[[#This Row],[CLEW (deg)]]+Targets_DW[[#This Row],[TWIST (deg)]]</f>
        <v>10.9</v>
      </c>
      <c r="AG24" s="7">
        <f>Targets_DW[[#This Row],[AWA+Leeway Top]]-Targets_DW[[#This Row],[CA6]]</f>
        <v>13.20707200849006</v>
      </c>
      <c r="AH24" s="1">
        <f>Targets_DW[[#This Row],[AWA+Leeway]]-Targets_DW[[#This Row],[JibLead (deg)]]</f>
        <v>13.130080867374428</v>
      </c>
    </row>
    <row r="25" spans="1:34" x14ac:dyDescent="0.25">
      <c r="A25" s="6" t="s">
        <v>32</v>
      </c>
      <c r="B25" t="s">
        <v>33</v>
      </c>
      <c r="C25" t="s">
        <v>34</v>
      </c>
      <c r="D25">
        <v>18</v>
      </c>
      <c r="E25" t="str">
        <f t="shared" si="0"/>
        <v>Foiling_HSB2_HSRW2-18m</v>
      </c>
      <c r="F25">
        <v>40</v>
      </c>
      <c r="G25" s="1">
        <f>ABS(Targets_DW[[#This Row],[BSP (km/h)]]*COS(RADIANS(Targets_DW[[#This Row],[TWA (deg)]]+Targets_DW[[#This Row],[LEEWAY (deg)]])))</f>
        <v>70.666180169135686</v>
      </c>
      <c r="H25" s="1">
        <v>84.5</v>
      </c>
      <c r="I25" s="1">
        <v>146</v>
      </c>
      <c r="J25" s="1">
        <v>0.75</v>
      </c>
      <c r="K25" s="1">
        <v>-10</v>
      </c>
      <c r="L25" s="1">
        <v>-0.2</v>
      </c>
      <c r="M25" s="1">
        <f>Targets_DW[[#This Row],[CANT (deg)]]-Targets_DW[[#This Row],[HEEL (deg)]]</f>
        <v>-9.8000000000000007</v>
      </c>
      <c r="N25" s="1">
        <v>1200</v>
      </c>
      <c r="O25" s="1">
        <v>0</v>
      </c>
      <c r="P25" s="1">
        <v>1.5</v>
      </c>
      <c r="Q25" s="1">
        <v>-1.5</v>
      </c>
      <c r="R25" s="1">
        <v>-19.5</v>
      </c>
      <c r="S25" s="1">
        <f>Targets_DW[[#This Row],[CLEW (deg)]]-0.5*Targets_DW[[#This Row],[CA1 (deg)]]</f>
        <v>12.75</v>
      </c>
      <c r="T25" s="1">
        <v>3</v>
      </c>
      <c r="U25" s="1">
        <v>9.1999999999999993</v>
      </c>
      <c r="V25" s="1">
        <v>1300</v>
      </c>
      <c r="W25" s="1">
        <v>9</v>
      </c>
      <c r="X25" s="1">
        <v>850</v>
      </c>
      <c r="Y25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55.560377846709663</v>
      </c>
      <c r="Z25" s="1">
        <f>DEGREES(ASIN(Targets_DW[[#This Row],[TWS (km/h)]]*SIN(RADIANS(Targets_DW[[#This Row],[TWA (deg)]]+Targets_DW[[#This Row],[LEEWAY (deg)]]))/Targets_DW[[#This Row],[AWS]]))</f>
        <v>23.249563806583662</v>
      </c>
      <c r="AA25" s="1">
        <f>Targets_DW[[#This Row],[AWA+Leeway]]-Targets_DW[[#This Row],[ROT (deg)]]</f>
        <v>10.499563806583662</v>
      </c>
      <c r="AB25" s="1">
        <f>Targets_DW[[#This Row],[TWS (km/h)]]*(Targets_DW[[#This Row],[Wing]]/10)^0.1</f>
        <v>42.421619264560746</v>
      </c>
      <c r="AC25" s="1">
        <f>SQRT(Targets_DW[[#This Row],[TWSTop]]^2+Targets_DW[[#This Row],[BSP (km/h)]]^2+2*Targets_DW[[#This Row],[BSP (km/h)]]*Targets_DW[[#This Row],[TWSTop]]*COS(RADIANS(Targets_DW[[#This Row],[TWA (deg)]]+Targets_DW[[#This Row],[LEEWAY (deg)]])))</f>
        <v>54.261369324736897</v>
      </c>
      <c r="AD25" s="1">
        <f>DEGREES(ASIN(Targets_DW[[#This Row],[TWSTop]]*SIN(RADIANS(Targets_DW[[#This Row],[TWA (deg)]]+Targets_DW[[#This Row],[LEEWAY (deg)]]))/Targets_DW[[#This Row],[AWSTop]]))</f>
        <v>25.382326059090889</v>
      </c>
      <c r="AE25" s="1">
        <f>Targets_DW[[#This Row],[AWA+Leeway Top]]-Targets_DW[[#This Row],[ROT (deg)]]</f>
        <v>12.632326059090889</v>
      </c>
      <c r="AF25" s="1">
        <f>Targets_DW[[#This Row],[CLEW (deg)]]+Targets_DW[[#This Row],[TWIST (deg)]]</f>
        <v>12.2</v>
      </c>
      <c r="AG25" s="7">
        <f>Targets_DW[[#This Row],[AWA+Leeway Top]]-Targets_DW[[#This Row],[CA6]]</f>
        <v>13.18232605909089</v>
      </c>
      <c r="AH25" s="1">
        <f>Targets_DW[[#This Row],[AWA+Leeway]]-Targets_DW[[#This Row],[JibLead (deg)]]</f>
        <v>14.249563806583662</v>
      </c>
    </row>
    <row r="26" spans="1:34" x14ac:dyDescent="0.25">
      <c r="A26" s="6" t="s">
        <v>32</v>
      </c>
      <c r="B26" t="s">
        <v>33</v>
      </c>
      <c r="C26" t="s">
        <v>34</v>
      </c>
      <c r="D26">
        <v>18</v>
      </c>
      <c r="E26" t="str">
        <f>A26 &amp; "_" &amp; B26 &amp; "_" &amp; C26 &amp; "-" &amp; D26 &amp; "m"</f>
        <v>Foiling_HSB2_HSRW2-18m</v>
      </c>
      <c r="F26">
        <v>42</v>
      </c>
      <c r="G26" s="1">
        <f>ABS(Targets_DW[[#This Row],[BSP (km/h)]]*COS(RADIANS(Targets_DW[[#This Row],[TWA (deg)]]+Targets_DW[[#This Row],[LEEWAY (deg)]])))</f>
        <v>71.886864844837717</v>
      </c>
      <c r="H26" s="1">
        <v>85</v>
      </c>
      <c r="I26" s="1">
        <v>147</v>
      </c>
      <c r="J26" s="1">
        <v>0.75</v>
      </c>
      <c r="K26" s="1">
        <v>-10</v>
      </c>
      <c r="L26" s="1">
        <v>-0.3</v>
      </c>
      <c r="M26" s="1">
        <f>Targets_DW[[#This Row],[CANT (deg)]]-Targets_DW[[#This Row],[HEEL (deg)]]</f>
        <v>-9.6999999999999993</v>
      </c>
      <c r="N26" s="1">
        <v>1200</v>
      </c>
      <c r="O26" s="1">
        <v>0</v>
      </c>
      <c r="P26" s="1">
        <v>1.5</v>
      </c>
      <c r="Q26" s="1">
        <v>-1.5</v>
      </c>
      <c r="R26" s="1">
        <v>-19</v>
      </c>
      <c r="S26" s="1">
        <f>Targets_DW[[#This Row],[CLEW (deg)]]-0.5*Targets_DW[[#This Row],[CA1 (deg)]]</f>
        <v>13</v>
      </c>
      <c r="T26" s="1">
        <v>3.5</v>
      </c>
      <c r="U26" s="1">
        <v>10.199999999999999</v>
      </c>
      <c r="V26" s="1">
        <v>1250</v>
      </c>
      <c r="W26" s="1">
        <v>9</v>
      </c>
      <c r="X26" s="1">
        <v>800</v>
      </c>
      <c r="Y26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54.318535998622345</v>
      </c>
      <c r="Z26" s="1">
        <f>DEGREES(ASIN(Targets_DW[[#This Row],[TWS (km/h)]]*SIN(RADIANS(Targets_DW[[#This Row],[TWA (deg)]]+Targets_DW[[#This Row],[LEEWAY (deg)]]))/Targets_DW[[#This Row],[AWS]]))</f>
        <v>24.368246544187233</v>
      </c>
      <c r="AA26" s="1">
        <f>Targets_DW[[#This Row],[AWA+Leeway]]-Targets_DW[[#This Row],[ROT (deg)]]</f>
        <v>11.368246544187233</v>
      </c>
      <c r="AB26" s="1">
        <f>Targets_DW[[#This Row],[TWS (km/h)]]*(Targets_DW[[#This Row],[Wing]]/10)^0.1</f>
        <v>44.542700227788785</v>
      </c>
      <c r="AC26" s="1">
        <f>SQRT(Targets_DW[[#This Row],[TWSTop]]^2+Targets_DW[[#This Row],[BSP (km/h)]]^2+2*Targets_DW[[#This Row],[BSP (km/h)]]*Targets_DW[[#This Row],[TWSTop]]*COS(RADIANS(Targets_DW[[#This Row],[TWA (deg)]]+Targets_DW[[#This Row],[LEEWAY (deg)]])))</f>
        <v>52.962080787902458</v>
      </c>
      <c r="AD26" s="1">
        <f>DEGREES(ASIN(Targets_DW[[#This Row],[TWSTop]]*SIN(RADIANS(Targets_DW[[#This Row],[TWA (deg)]]+Targets_DW[[#This Row],[LEEWAY (deg)]]))/Targets_DW[[#This Row],[AWSTop]]))</f>
        <v>26.665810755972213</v>
      </c>
      <c r="AE26" s="1">
        <f>Targets_DW[[#This Row],[AWA+Leeway Top]]-Targets_DW[[#This Row],[ROT (deg)]]</f>
        <v>13.665810755972213</v>
      </c>
      <c r="AF26" s="1">
        <f>Targets_DW[[#This Row],[CLEW (deg)]]+Targets_DW[[#This Row],[TWIST (deg)]]</f>
        <v>13.7</v>
      </c>
      <c r="AG26" s="7">
        <f>Targets_DW[[#This Row],[AWA+Leeway Top]]-Targets_DW[[#This Row],[CA6]]</f>
        <v>12.965810755972214</v>
      </c>
      <c r="AH26" s="1">
        <f>Targets_DW[[#This Row],[AWA+Leeway]]-Targets_DW[[#This Row],[JibLead (deg)]]</f>
        <v>15.368246544187233</v>
      </c>
    </row>
    <row r="27" spans="1:34" ht="15.75" thickBot="1" x14ac:dyDescent="0.3">
      <c r="A27" s="8" t="s">
        <v>32</v>
      </c>
      <c r="B27" s="9" t="s">
        <v>33</v>
      </c>
      <c r="C27" s="9" t="s">
        <v>34</v>
      </c>
      <c r="D27" s="9">
        <v>18</v>
      </c>
      <c r="E27" s="9" t="str">
        <f t="shared" si="0"/>
        <v>Foiling_HSB2_HSRW2-18m</v>
      </c>
      <c r="F27" s="9">
        <v>44</v>
      </c>
      <c r="G27" s="10">
        <f>ABS(Targets_DW[[#This Row],[BSP (km/h)]]*COS(RADIANS(Targets_DW[[#This Row],[TWA (deg)]]+Targets_DW[[#This Row],[LEEWAY (deg)]])))</f>
        <v>73.522420877873401</v>
      </c>
      <c r="H27" s="10">
        <v>86</v>
      </c>
      <c r="I27" s="10">
        <v>148</v>
      </c>
      <c r="J27" s="10">
        <v>0.75</v>
      </c>
      <c r="K27" s="10">
        <v>-10</v>
      </c>
      <c r="L27" s="10">
        <v>-0.3</v>
      </c>
      <c r="M27" s="10">
        <f>Targets_DW[[#This Row],[CANT (deg)]]-Targets_DW[[#This Row],[HEEL (deg)]]</f>
        <v>-9.6999999999999993</v>
      </c>
      <c r="N27" s="10">
        <v>1200</v>
      </c>
      <c r="O27" s="10">
        <v>0</v>
      </c>
      <c r="P27" s="10">
        <v>1.5</v>
      </c>
      <c r="Q27" s="10">
        <v>-1.5</v>
      </c>
      <c r="R27" s="10">
        <v>-19</v>
      </c>
      <c r="S27" s="10">
        <f>Targets_DW[[#This Row],[CLEW (deg)]]-0.5*Targets_DW[[#This Row],[CA1 (deg)]]</f>
        <v>13.5</v>
      </c>
      <c r="T27" s="10">
        <v>4</v>
      </c>
      <c r="U27" s="10">
        <v>11.6</v>
      </c>
      <c r="V27" s="10">
        <v>1200</v>
      </c>
      <c r="W27" s="10">
        <v>9</v>
      </c>
      <c r="X27" s="10">
        <v>750</v>
      </c>
      <c r="Y27" s="10">
        <f>SQRT(Targets_DW[[#This Row],[TWS (km/h)]]^2+Targets_DW[[#This Row],[BSP (km/h)]]^2+2*Targets_DW[[#This Row],[TWS (km/h)]]*Targets_DW[[#This Row],[BSP (km/h)]]*COS(RADIANS(Targets_DW[[#This Row],[TWA (deg)]]+Targets_DW[[#This Row],[LEEWAY (deg)]])))</f>
        <v>53.497915499084073</v>
      </c>
      <c r="Z27" s="10">
        <f>DEGREES(ASIN(Targets_DW[[#This Row],[TWS (km/h)]]*SIN(RADIANS(Targets_DW[[#This Row],[TWA (deg)]]+Targets_DW[[#This Row],[LEEWAY (deg)]]))/Targets_DW[[#This Row],[AWS]]))</f>
        <v>25.256495066425131</v>
      </c>
      <c r="AA27" s="10">
        <f>Targets_DW[[#This Row],[AWA+Leeway]]-Targets_DW[[#This Row],[ROT (deg)]]</f>
        <v>11.756495066425131</v>
      </c>
      <c r="AB27" s="10">
        <f>Targets_DW[[#This Row],[TWS (km/h)]]*(Targets_DW[[#This Row],[Wing]]/10)^0.1</f>
        <v>46.663781191016824</v>
      </c>
      <c r="AC27" s="10">
        <f>SQRT(Targets_DW[[#This Row],[TWSTop]]^2+Targets_DW[[#This Row],[BSP (km/h)]]^2+2*Targets_DW[[#This Row],[BSP (km/h)]]*Targets_DW[[#This Row],[TWSTop]]*COS(RADIANS(Targets_DW[[#This Row],[TWA (deg)]]+Targets_DW[[#This Row],[LEEWAY (deg)]])))</f>
        <v>52.075331531208064</v>
      </c>
      <c r="AD27" s="10">
        <f>DEGREES(ASIN(Targets_DW[[#This Row],[TWSTop]]*SIN(RADIANS(Targets_DW[[#This Row],[TWA (deg)]]+Targets_DW[[#This Row],[LEEWAY (deg)]]))/Targets_DW[[#This Row],[AWSTop]]))</f>
        <v>27.701389514768927</v>
      </c>
      <c r="AE27" s="10">
        <f>Targets_DW[[#This Row],[AWA+Leeway Top]]-Targets_DW[[#This Row],[ROT (deg)]]</f>
        <v>14.201389514768927</v>
      </c>
      <c r="AF27" s="10">
        <f>Targets_DW[[#This Row],[CLEW (deg)]]+Targets_DW[[#This Row],[TWIST (deg)]]</f>
        <v>15.6</v>
      </c>
      <c r="AG27" s="11">
        <f>Targets_DW[[#This Row],[AWA+Leeway Top]]-Targets_DW[[#This Row],[CA6]]</f>
        <v>12.101389514768927</v>
      </c>
      <c r="AH27" s="1">
        <f>Targets_DW[[#This Row],[AWA+Leeway]]-Targets_DW[[#This Row],[JibLead (deg)]]</f>
        <v>16.256495066425131</v>
      </c>
    </row>
    <row r="28" spans="1:34" x14ac:dyDescent="0.25">
      <c r="A28" s="2" t="s">
        <v>32</v>
      </c>
      <c r="B28" s="3" t="s">
        <v>33</v>
      </c>
      <c r="C28" s="3" t="s">
        <v>36</v>
      </c>
      <c r="D28" s="3">
        <v>24</v>
      </c>
      <c r="E28" s="3" t="str">
        <f t="shared" si="0"/>
        <v>Foiling_HSB2_LARW2-24m</v>
      </c>
      <c r="F28" s="3">
        <v>14</v>
      </c>
      <c r="G28" s="4">
        <f>ABS(Targets_DW[[#This Row],[BSP (km/h)]]*COS(RADIANS(Targets_DW[[#This Row],[TWA (deg)]]+Targets_DW[[#This Row],[LEEWAY (deg)]])))</f>
        <v>28.857283948335795</v>
      </c>
      <c r="H28" s="4">
        <v>48.4</v>
      </c>
      <c r="I28" s="4">
        <v>125</v>
      </c>
      <c r="J28" s="4">
        <v>1.6</v>
      </c>
      <c r="K28" s="4">
        <v>2.5999999999999996</v>
      </c>
      <c r="L28" s="4">
        <v>1</v>
      </c>
      <c r="M28" s="4">
        <f>Targets_DW[[#This Row],[CANT (deg)]]-Targets_DW[[#This Row],[HEEL (deg)]]</f>
        <v>1.5999999999999996</v>
      </c>
      <c r="N28" s="4">
        <v>1200</v>
      </c>
      <c r="O28" s="4">
        <v>0.8</v>
      </c>
      <c r="P28" s="4">
        <v>2.75</v>
      </c>
      <c r="Q28" s="4">
        <v>-3</v>
      </c>
      <c r="R28" s="4">
        <v>-26</v>
      </c>
      <c r="S28" s="4">
        <f>Targets_DW[[#This Row],[CLEW (deg)]]-0.5*Targets_DW[[#This Row],[CA1 (deg)]]</f>
        <v>12.7</v>
      </c>
      <c r="T28" s="4">
        <v>-0.3</v>
      </c>
      <c r="U28" s="4">
        <v>13</v>
      </c>
      <c r="V28" s="4">
        <v>375</v>
      </c>
      <c r="W28" s="4">
        <v>6.5</v>
      </c>
      <c r="X28" s="4"/>
      <c r="Y28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41.599952517359895</v>
      </c>
      <c r="Z28" s="4">
        <f>DEGREES(ASIN(Targets_DW[[#This Row],[TWS (km/h)]]*SIN(RADIANS(Targets_DW[[#This Row],[TWA (deg)]]+Targets_DW[[#This Row],[LEEWAY (deg)]]))/Targets_DW[[#This Row],[AWS]]))</f>
        <v>15.674934520469245</v>
      </c>
      <c r="AA28" s="4">
        <f>Targets_DW[[#This Row],[AWA+Leeway]]-Targets_DW[[#This Row],[ROT (deg)]]</f>
        <v>2.9749345204692457</v>
      </c>
      <c r="AB28" s="4">
        <f>Targets_DW[[#This Row],[TWS (km/h)]]*(Targets_DW[[#This Row],[Wing]]/10)^0.1</f>
        <v>15.280907958650557</v>
      </c>
      <c r="AC28" s="4">
        <f>SQRT(Targets_DW[[#This Row],[TWSTop]]^2+Targets_DW[[#This Row],[BSP (km/h)]]^2+2*Targets_DW[[#This Row],[BSP (km/h)]]*Targets_DW[[#This Row],[TWSTop]]*COS(RADIANS(Targets_DW[[#This Row],[TWA (deg)]]+Targets_DW[[#This Row],[LEEWAY (deg)]])))</f>
        <v>41.159873033555662</v>
      </c>
      <c r="AD28" s="4">
        <f>DEGREES(ASIN(Targets_DW[[#This Row],[TWSTop]]*SIN(RADIANS(Targets_DW[[#This Row],[TWA (deg)]]+Targets_DW[[#This Row],[LEEWAY (deg)]]))/Targets_DW[[#This Row],[AWSTop]]))</f>
        <v>17.340635541539857</v>
      </c>
      <c r="AE28" s="4">
        <f>Targets_DW[[#This Row],[AWA+Leeway Top]]-Targets_DW[[#This Row],[ROT (deg)]]</f>
        <v>4.6406355415398579</v>
      </c>
      <c r="AF28" s="4">
        <f>Targets_DW[[#This Row],[CLEW (deg)]]+Targets_DW[[#This Row],[TWIST (deg)]]</f>
        <v>12.7</v>
      </c>
      <c r="AG28" s="5">
        <f>Targets_DW[[#This Row],[AWA+Leeway Top]]-Targets_DW[[#This Row],[CA6]]</f>
        <v>4.6406355415398579</v>
      </c>
      <c r="AH28" s="1">
        <f>Targets_DW[[#This Row],[AWA+Leeway]]-Targets_DW[[#This Row],[JibLead (deg)]]</f>
        <v>9.174934520469245</v>
      </c>
    </row>
    <row r="29" spans="1:34" x14ac:dyDescent="0.25">
      <c r="A29" s="6" t="s">
        <v>32</v>
      </c>
      <c r="B29" t="s">
        <v>33</v>
      </c>
      <c r="C29" t="s">
        <v>36</v>
      </c>
      <c r="D29">
        <v>24</v>
      </c>
      <c r="E29" t="str">
        <f t="shared" si="0"/>
        <v>Foiling_HSB2_LARW2-24m</v>
      </c>
      <c r="F29">
        <v>16</v>
      </c>
      <c r="G29" s="1">
        <f>ABS(Targets_DW[[#This Row],[BSP (km/h)]]*COS(RADIANS(Targets_DW[[#This Row],[TWA (deg)]]+Targets_DW[[#This Row],[LEEWAY (deg)]])))</f>
        <v>31.678536794193825</v>
      </c>
      <c r="H29" s="1">
        <v>51</v>
      </c>
      <c r="I29" s="1">
        <v>127.5</v>
      </c>
      <c r="J29" s="1">
        <v>0.9</v>
      </c>
      <c r="K29" s="1">
        <v>1.7000000000000002</v>
      </c>
      <c r="L29" s="1">
        <v>1</v>
      </c>
      <c r="M29" s="1">
        <f>Targets_DW[[#This Row],[CANT (deg)]]-Targets_DW[[#This Row],[HEEL (deg)]]</f>
        <v>0.70000000000000018</v>
      </c>
      <c r="N29" s="1">
        <v>1200</v>
      </c>
      <c r="O29" s="1">
        <v>0.6</v>
      </c>
      <c r="P29" s="1">
        <v>2.7</v>
      </c>
      <c r="Q29" s="1">
        <v>-3</v>
      </c>
      <c r="R29" s="1">
        <v>-25</v>
      </c>
      <c r="S29" s="1">
        <f>Targets_DW[[#This Row],[CLEW (deg)]]-0.5*Targets_DW[[#This Row],[CA1 (deg)]]</f>
        <v>12.8</v>
      </c>
      <c r="T29" s="1">
        <v>0.3</v>
      </c>
      <c r="U29" s="1">
        <v>13.5</v>
      </c>
      <c r="V29" s="1">
        <v>410</v>
      </c>
      <c r="W29" s="1">
        <v>7.2</v>
      </c>
      <c r="X29" s="1"/>
      <c r="Y29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42.933516308192104</v>
      </c>
      <c r="Z29" s="1">
        <f>DEGREES(ASIN(Targets_DW[[#This Row],[TWS (km/h)]]*SIN(RADIANS(Targets_DW[[#This Row],[TWA (deg)]]+Targets_DW[[#This Row],[LEEWAY (deg)]]))/Targets_DW[[#This Row],[AWS]]))</f>
        <v>16.98123141415525</v>
      </c>
      <c r="AA29" s="1">
        <f>Targets_DW[[#This Row],[AWA+Leeway]]-Targets_DW[[#This Row],[ROT (deg)]]</f>
        <v>4.1812314141552491</v>
      </c>
      <c r="AB29" s="1">
        <f>Targets_DW[[#This Row],[TWS (km/h)]]*(Targets_DW[[#This Row],[Wing]]/10)^0.1</f>
        <v>17.463894809886352</v>
      </c>
      <c r="AC29" s="1">
        <f>SQRT(Targets_DW[[#This Row],[TWSTop]]^2+Targets_DW[[#This Row],[BSP (km/h)]]^2+2*Targets_DW[[#This Row],[BSP (km/h)]]*Targets_DW[[#This Row],[TWSTop]]*COS(RADIANS(Targets_DW[[#This Row],[TWA (deg)]]+Targets_DW[[#This Row],[LEEWAY (deg)]])))</f>
        <v>42.420824524294012</v>
      </c>
      <c r="AD29" s="1">
        <f>DEGREES(ASIN(Targets_DW[[#This Row],[TWSTop]]*SIN(RADIANS(Targets_DW[[#This Row],[TWA (deg)]]+Targets_DW[[#This Row],[LEEWAY (deg)]]))/Targets_DW[[#This Row],[AWSTop]]))</f>
        <v>18.822207158570922</v>
      </c>
      <c r="AE29" s="1">
        <f>Targets_DW[[#This Row],[AWA+Leeway Top]]-Targets_DW[[#This Row],[ROT (deg)]]</f>
        <v>6.0222071585709216</v>
      </c>
      <c r="AF29" s="1">
        <f>Targets_DW[[#This Row],[CLEW (deg)]]+Targets_DW[[#This Row],[TWIST (deg)]]</f>
        <v>13.8</v>
      </c>
      <c r="AG29" s="7">
        <f>Targets_DW[[#This Row],[AWA+Leeway Top]]-Targets_DW[[#This Row],[CA6]]</f>
        <v>5.0222071585709216</v>
      </c>
      <c r="AH29" s="1">
        <f>Targets_DW[[#This Row],[AWA+Leeway]]-Targets_DW[[#This Row],[JibLead (deg)]]</f>
        <v>9.7812314141552505</v>
      </c>
    </row>
    <row r="30" spans="1:34" x14ac:dyDescent="0.25">
      <c r="A30" s="6" t="s">
        <v>32</v>
      </c>
      <c r="B30" t="s">
        <v>33</v>
      </c>
      <c r="C30" t="s">
        <v>36</v>
      </c>
      <c r="D30">
        <v>24</v>
      </c>
      <c r="E30" t="str">
        <f t="shared" si="0"/>
        <v>Foiling_HSB2_LARW2-24m</v>
      </c>
      <c r="F30">
        <v>18</v>
      </c>
      <c r="G30" s="1">
        <f>ABS(Targets_DW[[#This Row],[BSP (km/h)]]*COS(RADIANS(Targets_DW[[#This Row],[TWA (deg)]]+Targets_DW[[#This Row],[LEEWAY (deg)]])))</f>
        <v>37.298781842743871</v>
      </c>
      <c r="H30" s="1">
        <v>55</v>
      </c>
      <c r="I30" s="1">
        <v>132</v>
      </c>
      <c r="J30" s="1">
        <v>0.7</v>
      </c>
      <c r="K30" s="1">
        <v>0.5</v>
      </c>
      <c r="L30" s="1">
        <v>0.9</v>
      </c>
      <c r="M30" s="1">
        <f>Targets_DW[[#This Row],[CANT (deg)]]-Targets_DW[[#This Row],[HEEL (deg)]]</f>
        <v>-0.4</v>
      </c>
      <c r="N30" s="1">
        <v>1200</v>
      </c>
      <c r="O30" s="1">
        <v>0.1</v>
      </c>
      <c r="P30" s="1">
        <v>2.5499999999999998</v>
      </c>
      <c r="Q30" s="1">
        <v>-3</v>
      </c>
      <c r="R30" s="1">
        <v>-24</v>
      </c>
      <c r="S30" s="1">
        <f>Targets_DW[[#This Row],[CLEW (deg)]]-0.5*Targets_DW[[#This Row],[CA1 (deg)]]</f>
        <v>12.9</v>
      </c>
      <c r="T30" s="1">
        <v>0.9</v>
      </c>
      <c r="U30" s="1">
        <v>13.5</v>
      </c>
      <c r="V30" s="1">
        <v>470</v>
      </c>
      <c r="W30" s="1">
        <v>7.5</v>
      </c>
      <c r="X30" s="1"/>
      <c r="Y30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44.791113556834247</v>
      </c>
      <c r="Z30" s="1">
        <f>DEGREES(ASIN(Targets_DW[[#This Row],[TWS (km/h)]]*SIN(RADIANS(Targets_DW[[#This Row],[TWA (deg)]]+Targets_DW[[#This Row],[LEEWAY (deg)]]))/Targets_DW[[#This Row],[AWS]]))</f>
        <v>17.177732547539438</v>
      </c>
      <c r="AA30" s="1">
        <f>Targets_DW[[#This Row],[AWA+Leeway]]-Targets_DW[[#This Row],[ROT (deg)]]</f>
        <v>4.2777325475394381</v>
      </c>
      <c r="AB30" s="1">
        <f>Targets_DW[[#This Row],[TWS (km/h)]]*(Targets_DW[[#This Row],[Wing]]/10)^0.1</f>
        <v>19.646881661122144</v>
      </c>
      <c r="AC30" s="1">
        <f>SQRT(Targets_DW[[#This Row],[TWSTop]]^2+Targets_DW[[#This Row],[BSP (km/h)]]^2+2*Targets_DW[[#This Row],[BSP (km/h)]]*Targets_DW[[#This Row],[TWSTop]]*COS(RADIANS(Targets_DW[[#This Row],[TWA (deg)]]+Targets_DW[[#This Row],[LEEWAY (deg)]])))</f>
        <v>44.106580609579531</v>
      </c>
      <c r="AD30" s="1">
        <f>DEGREES(ASIN(Targets_DW[[#This Row],[TWSTop]]*SIN(RADIANS(Targets_DW[[#This Row],[TWA (deg)]]+Targets_DW[[#This Row],[LEEWAY (deg)]]))/Targets_DW[[#This Row],[AWSTop]]))</f>
        <v>19.108684877446912</v>
      </c>
      <c r="AE30" s="1">
        <f>Targets_DW[[#This Row],[AWA+Leeway Top]]-Targets_DW[[#This Row],[ROT (deg)]]</f>
        <v>6.2086848774469114</v>
      </c>
      <c r="AF30" s="1">
        <f>Targets_DW[[#This Row],[CLEW (deg)]]+Targets_DW[[#This Row],[TWIST (deg)]]</f>
        <v>14.4</v>
      </c>
      <c r="AG30" s="7">
        <f>Targets_DW[[#This Row],[AWA+Leeway Top]]-Targets_DW[[#This Row],[CA6]]</f>
        <v>4.7086848774469114</v>
      </c>
      <c r="AH30" s="1">
        <f>Targets_DW[[#This Row],[AWA+Leeway]]-Targets_DW[[#This Row],[JibLead (deg)]]</f>
        <v>9.6777325475394385</v>
      </c>
    </row>
    <row r="31" spans="1:34" x14ac:dyDescent="0.25">
      <c r="A31" s="6" t="s">
        <v>32</v>
      </c>
      <c r="B31" t="s">
        <v>33</v>
      </c>
      <c r="C31" t="s">
        <v>36</v>
      </c>
      <c r="D31">
        <v>24</v>
      </c>
      <c r="E31" t="str">
        <f t="shared" si="0"/>
        <v>Foiling_HSB2_LARW2-24m</v>
      </c>
      <c r="F31">
        <v>20</v>
      </c>
      <c r="G31" s="1">
        <f>ABS(Targets_DW[[#This Row],[BSP (km/h)]]*COS(RADIANS(Targets_DW[[#This Row],[TWA (deg)]]+Targets_DW[[#This Row],[LEEWAY (deg)]])))</f>
        <v>44.377865698716569</v>
      </c>
      <c r="H31" s="1">
        <v>60</v>
      </c>
      <c r="I31" s="1">
        <v>137</v>
      </c>
      <c r="J31" s="1">
        <v>0.7</v>
      </c>
      <c r="K31" s="1">
        <v>-1</v>
      </c>
      <c r="L31" s="1">
        <v>0.75</v>
      </c>
      <c r="M31" s="1">
        <f>Targets_DW[[#This Row],[CANT (deg)]]-Targets_DW[[#This Row],[HEEL (deg)]]</f>
        <v>-1.75</v>
      </c>
      <c r="N31" s="1">
        <v>1206.3915399999901</v>
      </c>
      <c r="O31" s="1">
        <v>0</v>
      </c>
      <c r="P31" s="1">
        <v>2.4</v>
      </c>
      <c r="Q31" s="1">
        <v>-3</v>
      </c>
      <c r="R31" s="1">
        <v>-23.4</v>
      </c>
      <c r="S31" s="1">
        <f>Targets_DW[[#This Row],[CLEW (deg)]]-0.5*Targets_DW[[#This Row],[CA1 (deg)]]</f>
        <v>12.7</v>
      </c>
      <c r="T31" s="1">
        <v>1</v>
      </c>
      <c r="U31" s="1">
        <v>13.3</v>
      </c>
      <c r="V31" s="1">
        <v>550</v>
      </c>
      <c r="W31" s="1">
        <v>7.5</v>
      </c>
      <c r="X31" s="1"/>
      <c r="Y31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47.168690590807557</v>
      </c>
      <c r="Z31" s="1">
        <f>DEGREES(ASIN(Targets_DW[[#This Row],[TWS (km/h)]]*SIN(RADIANS(Targets_DW[[#This Row],[TWA (deg)]]+Targets_DW[[#This Row],[LEEWAY (deg)]]))/Targets_DW[[#This Row],[AWS]]))</f>
        <v>16.58061296949607</v>
      </c>
      <c r="AA31" s="1">
        <f>Targets_DW[[#This Row],[AWA+Leeway]]-Targets_DW[[#This Row],[ROT (deg)]]</f>
        <v>3.8806129694960703</v>
      </c>
      <c r="AB31" s="1">
        <f>Targets_DW[[#This Row],[TWS (km/h)]]*(Targets_DW[[#This Row],[Wing]]/10)^0.1</f>
        <v>21.82986851235794</v>
      </c>
      <c r="AC31" s="1">
        <f>SQRT(Targets_DW[[#This Row],[TWSTop]]^2+Targets_DW[[#This Row],[BSP (km/h)]]^2+2*Targets_DW[[#This Row],[BSP (km/h)]]*Targets_DW[[#This Row],[TWSTop]]*COS(RADIANS(Targets_DW[[#This Row],[TWA (deg)]]+Targets_DW[[#This Row],[LEEWAY (deg)]])))</f>
        <v>46.249510409762308</v>
      </c>
      <c r="AD31" s="1">
        <f>DEGREES(ASIN(Targets_DW[[#This Row],[TWSTop]]*SIN(RADIANS(Targets_DW[[#This Row],[TWA (deg)]]+Targets_DW[[#This Row],[LEEWAY (deg)]]))/Targets_DW[[#This Row],[AWSTop]]))</f>
        <v>18.521673252394798</v>
      </c>
      <c r="AE31" s="1">
        <f>Targets_DW[[#This Row],[AWA+Leeway Top]]-Targets_DW[[#This Row],[ROT (deg)]]</f>
        <v>5.8216732523947989</v>
      </c>
      <c r="AF31" s="1">
        <f>Targets_DW[[#This Row],[CLEW (deg)]]+Targets_DW[[#This Row],[TWIST (deg)]]</f>
        <v>14.3</v>
      </c>
      <c r="AG31" s="7">
        <f>Targets_DW[[#This Row],[AWA+Leeway Top]]-Targets_DW[[#This Row],[CA6]]</f>
        <v>4.2216732523947975</v>
      </c>
      <c r="AH31" s="1">
        <f>Targets_DW[[#This Row],[AWA+Leeway]]-Targets_DW[[#This Row],[JibLead (deg)]]</f>
        <v>9.0806129694960696</v>
      </c>
    </row>
    <row r="32" spans="1:34" ht="15.75" thickBot="1" x14ac:dyDescent="0.3">
      <c r="A32" s="8" t="s">
        <v>32</v>
      </c>
      <c r="B32" s="9" t="s">
        <v>33</v>
      </c>
      <c r="C32" s="9" t="s">
        <v>36</v>
      </c>
      <c r="D32" s="9">
        <v>24</v>
      </c>
      <c r="E32" s="9" t="str">
        <f t="shared" si="0"/>
        <v>Foiling_HSB2_LARW2-24m</v>
      </c>
      <c r="F32" s="9">
        <v>22</v>
      </c>
      <c r="G32" s="10">
        <f>ABS(Targets_DW[[#This Row],[BSP (km/h)]]*COS(RADIANS(Targets_DW[[#This Row],[TWA (deg)]]+Targets_DW[[#This Row],[LEEWAY (deg)]])))</f>
        <v>49.833299528850759</v>
      </c>
      <c r="H32" s="10">
        <v>63.5</v>
      </c>
      <c r="I32" s="10">
        <v>141</v>
      </c>
      <c r="J32" s="10">
        <v>0.7</v>
      </c>
      <c r="K32" s="10">
        <v>-2</v>
      </c>
      <c r="L32" s="10">
        <v>0.6</v>
      </c>
      <c r="M32" s="10">
        <f>Targets_DW[[#This Row],[CANT (deg)]]-Targets_DW[[#This Row],[HEEL (deg)]]</f>
        <v>-2.6</v>
      </c>
      <c r="N32" s="10">
        <v>1220.0893183999899</v>
      </c>
      <c r="O32" s="10">
        <v>0</v>
      </c>
      <c r="P32" s="10">
        <v>2.2999999999999998</v>
      </c>
      <c r="Q32" s="10">
        <v>-3</v>
      </c>
      <c r="R32" s="10">
        <v>-22.8</v>
      </c>
      <c r="S32" s="10">
        <f>Targets_DW[[#This Row],[CLEW (deg)]]-0.5*Targets_DW[[#This Row],[CA1 (deg)]]</f>
        <v>11.9</v>
      </c>
      <c r="T32" s="10">
        <v>0.5</v>
      </c>
      <c r="U32" s="10">
        <v>13</v>
      </c>
      <c r="V32" s="10">
        <v>580</v>
      </c>
      <c r="W32" s="10">
        <v>7.5</v>
      </c>
      <c r="X32" s="10"/>
      <c r="Y32" s="10">
        <f>SQRT(Targets_DW[[#This Row],[TWS (km/h)]]^2+Targets_DW[[#This Row],[BSP (km/h)]]^2+2*Targets_DW[[#This Row],[TWS (km/h)]]*Targets_DW[[#This Row],[BSP (km/h)]]*COS(RADIANS(Targets_DW[[#This Row],[TWA (deg)]]+Targets_DW[[#This Row],[LEEWAY (deg)]])))</f>
        <v>48.203576845816812</v>
      </c>
      <c r="Z32" s="10">
        <f>DEGREES(ASIN(Targets_DW[[#This Row],[TWS (km/h)]]*SIN(RADIANS(Targets_DW[[#This Row],[TWA (deg)]]+Targets_DW[[#This Row],[LEEWAY (deg)]]))/Targets_DW[[#This Row],[AWS]]))</f>
        <v>16.431313592202329</v>
      </c>
      <c r="AA32" s="10">
        <f>Targets_DW[[#This Row],[AWA+Leeway]]-Targets_DW[[#This Row],[ROT (deg)]]</f>
        <v>4.5313135922023289</v>
      </c>
      <c r="AB32" s="10">
        <f>Targets_DW[[#This Row],[TWS (km/h)]]*(Targets_DW[[#This Row],[Wing]]/10)^0.1</f>
        <v>24.012855363593733</v>
      </c>
      <c r="AC32" s="10">
        <f>SQRT(Targets_DW[[#This Row],[TWSTop]]^2+Targets_DW[[#This Row],[BSP (km/h)]]^2+2*Targets_DW[[#This Row],[BSP (km/h)]]*Targets_DW[[#This Row],[TWSTop]]*COS(RADIANS(Targets_DW[[#This Row],[TWA (deg)]]+Targets_DW[[#This Row],[LEEWAY (deg)]])))</f>
        <v>47.070028627131698</v>
      </c>
      <c r="AD32" s="10">
        <f>DEGREES(ASIN(Targets_DW[[#This Row],[TWSTop]]*SIN(RADIANS(Targets_DW[[#This Row],[TWA (deg)]]+Targets_DW[[#This Row],[LEEWAY (deg)]]))/Targets_DW[[#This Row],[AWSTop]]))</f>
        <v>18.432144331588525</v>
      </c>
      <c r="AE32" s="10">
        <f>Targets_DW[[#This Row],[AWA+Leeway Top]]-Targets_DW[[#This Row],[ROT (deg)]]</f>
        <v>6.5321443315885244</v>
      </c>
      <c r="AF32" s="10">
        <f>Targets_DW[[#This Row],[CLEW (deg)]]+Targets_DW[[#This Row],[TWIST (deg)]]</f>
        <v>13.5</v>
      </c>
      <c r="AG32" s="11">
        <f>Targets_DW[[#This Row],[AWA+Leeway Top]]-Targets_DW[[#This Row],[CA6]]</f>
        <v>4.9321443315885247</v>
      </c>
      <c r="AH32" s="1">
        <f>Targets_DW[[#This Row],[AWA+Leeway]]-Targets_DW[[#This Row],[JibLead (deg)]]</f>
        <v>8.9313135922023292</v>
      </c>
    </row>
    <row r="33" spans="1:34" x14ac:dyDescent="0.25">
      <c r="A33" s="2" t="s">
        <v>32</v>
      </c>
      <c r="B33" s="3" t="s">
        <v>37</v>
      </c>
      <c r="C33" s="3" t="s">
        <v>34</v>
      </c>
      <c r="D33" s="3">
        <v>24</v>
      </c>
      <c r="E33" s="3" t="str">
        <f t="shared" si="0"/>
        <v>Foiling_LAB2_HSRW2-24m</v>
      </c>
      <c r="F33" s="3">
        <v>14</v>
      </c>
      <c r="G33" s="4">
        <f>ABS(Targets_DW[[#This Row],[BSP (km/h)]]*COS(RADIANS(Targets_DW[[#This Row],[TWA (deg)]]+Targets_DW[[#This Row],[LEEWAY (deg)]])))</f>
        <v>33.391781499584326</v>
      </c>
      <c r="H33" s="4">
        <v>51</v>
      </c>
      <c r="I33" s="4">
        <v>130</v>
      </c>
      <c r="J33" s="4">
        <v>0.9</v>
      </c>
      <c r="K33" s="4">
        <v>4</v>
      </c>
      <c r="L33" s="4">
        <v>1.2</v>
      </c>
      <c r="M33" s="4">
        <f>Targets_DW[[#This Row],[CANT (deg)]]-Targets_DW[[#This Row],[HEEL (deg)]]</f>
        <v>2.8</v>
      </c>
      <c r="N33" s="4">
        <v>1310</v>
      </c>
      <c r="O33" s="4">
        <v>1.29</v>
      </c>
      <c r="P33" s="4">
        <v>4.9000000000000004</v>
      </c>
      <c r="Q33" s="4">
        <v>-3</v>
      </c>
      <c r="R33" s="4">
        <v>-25</v>
      </c>
      <c r="S33" s="4">
        <f>Targets_DW[[#This Row],[CLEW (deg)]]-0.5*Targets_DW[[#This Row],[CA1 (deg)]]</f>
        <v>10.5</v>
      </c>
      <c r="T33" s="4">
        <v>-2</v>
      </c>
      <c r="U33" s="4">
        <v>13</v>
      </c>
      <c r="V33" s="4">
        <v>410</v>
      </c>
      <c r="W33" s="4">
        <v>6</v>
      </c>
      <c r="X33" s="4"/>
      <c r="Y33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43.151247004132323</v>
      </c>
      <c r="Z33" s="4">
        <f>DEGREES(ASIN(Targets_DW[[#This Row],[TWS (km/h)]]*SIN(RADIANS(Targets_DW[[#This Row],[TWA (deg)]]+Targets_DW[[#This Row],[LEEWAY (deg)]]))/Targets_DW[[#This Row],[AWS]]))</f>
        <v>14.195382952396015</v>
      </c>
      <c r="AA33" s="4">
        <f>Targets_DW[[#This Row],[AWA+Leeway]]-Targets_DW[[#This Row],[ROT (deg)]]</f>
        <v>3.6953829523960149</v>
      </c>
      <c r="AB33" s="4">
        <f>Targets_DW[[#This Row],[TWS (km/h)]]*(Targets_DW[[#This Row],[Wing]]/10)^0.1</f>
        <v>15.280907958650557</v>
      </c>
      <c r="AC33" s="4">
        <f>SQRT(Targets_DW[[#This Row],[TWSTop]]^2+Targets_DW[[#This Row],[BSP (km/h)]]^2+2*Targets_DW[[#This Row],[BSP (km/h)]]*Targets_DW[[#This Row],[TWSTop]]*COS(RADIANS(Targets_DW[[#This Row],[TWA (deg)]]+Targets_DW[[#This Row],[LEEWAY (deg)]])))</f>
        <v>42.590992811857681</v>
      </c>
      <c r="AD33" s="4">
        <f>DEGREES(ASIN(Targets_DW[[#This Row],[TWSTop]]*SIN(RADIANS(Targets_DW[[#This Row],[TWA (deg)]]+Targets_DW[[#This Row],[LEEWAY (deg)]]))/Targets_DW[[#This Row],[AWSTop]]))</f>
        <v>15.734917679895696</v>
      </c>
      <c r="AE33" s="4">
        <f>Targets_DW[[#This Row],[AWA+Leeway Top]]-Targets_DW[[#This Row],[ROT (deg)]]</f>
        <v>5.2349176798956965</v>
      </c>
      <c r="AF33" s="4">
        <f>Targets_DW[[#This Row],[CLEW (deg)]]+Targets_DW[[#This Row],[TWIST (deg)]]</f>
        <v>11</v>
      </c>
      <c r="AG33" s="5">
        <f>Targets_DW[[#This Row],[AWA+Leeway Top]]-Targets_DW[[#This Row],[CA6]]</f>
        <v>4.7349176798956965</v>
      </c>
      <c r="AH33" s="1">
        <f>Targets_DW[[#This Row],[AWA+Leeway]]-Targets_DW[[#This Row],[JibLead (deg)]]</f>
        <v>8.1953829523960149</v>
      </c>
    </row>
    <row r="34" spans="1:34" x14ac:dyDescent="0.25">
      <c r="A34" s="6" t="s">
        <v>32</v>
      </c>
      <c r="B34" t="s">
        <v>37</v>
      </c>
      <c r="C34" t="s">
        <v>34</v>
      </c>
      <c r="D34">
        <v>24</v>
      </c>
      <c r="E34" t="str">
        <f t="shared" si="0"/>
        <v>Foiling_LAB2_HSRW2-24m</v>
      </c>
      <c r="F34">
        <v>16</v>
      </c>
      <c r="G34" s="1">
        <f>ABS(Targets_DW[[#This Row],[BSP (km/h)]]*COS(RADIANS(Targets_DW[[#This Row],[TWA (deg)]]+Targets_DW[[#This Row],[LEEWAY (deg)]])))</f>
        <v>35.893064492190732</v>
      </c>
      <c r="H34" s="1">
        <v>52</v>
      </c>
      <c r="I34" s="1">
        <v>133</v>
      </c>
      <c r="J34" s="1">
        <v>0.65</v>
      </c>
      <c r="K34" s="1">
        <v>4</v>
      </c>
      <c r="L34" s="1">
        <v>1.1000000000000001</v>
      </c>
      <c r="M34" s="1">
        <f>Targets_DW[[#This Row],[CANT (deg)]]-Targets_DW[[#This Row],[HEEL (deg)]]</f>
        <v>2.9</v>
      </c>
      <c r="N34" s="1">
        <v>1330</v>
      </c>
      <c r="O34" s="1">
        <v>1.23</v>
      </c>
      <c r="P34" s="1">
        <v>4.8000000000000007</v>
      </c>
      <c r="Q34" s="1">
        <v>-3</v>
      </c>
      <c r="R34" s="1">
        <v>-24.7</v>
      </c>
      <c r="S34" s="1">
        <f>Targets_DW[[#This Row],[CLEW (deg)]]-0.5*Targets_DW[[#This Row],[CA1 (deg)]]</f>
        <v>11.15</v>
      </c>
      <c r="T34" s="1">
        <v>-1.2</v>
      </c>
      <c r="U34" s="1">
        <v>14</v>
      </c>
      <c r="V34" s="1">
        <v>400</v>
      </c>
      <c r="W34" s="1">
        <v>6.5</v>
      </c>
      <c r="X34" s="1"/>
      <c r="Y34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42.560802814912883</v>
      </c>
      <c r="Z34" s="1">
        <f>DEGREES(ASIN(Targets_DW[[#This Row],[TWS (km/h)]]*SIN(RADIANS(Targets_DW[[#This Row],[TWA (deg)]]+Targets_DW[[#This Row],[LEEWAY (deg)]]))/Targets_DW[[#This Row],[AWS]]))</f>
        <v>15.784121968143614</v>
      </c>
      <c r="AA34" s="1">
        <f>Targets_DW[[#This Row],[AWA+Leeway]]-Targets_DW[[#This Row],[ROT (deg)]]</f>
        <v>4.6341219681436137</v>
      </c>
      <c r="AB34" s="1">
        <f>Targets_DW[[#This Row],[TWS (km/h)]]*(Targets_DW[[#This Row],[Wing]]/10)^0.1</f>
        <v>17.463894809886352</v>
      </c>
      <c r="AC34" s="1">
        <f>SQRT(Targets_DW[[#This Row],[TWSTop]]^2+Targets_DW[[#This Row],[BSP (km/h)]]^2+2*Targets_DW[[#This Row],[BSP (km/h)]]*Targets_DW[[#This Row],[TWSTop]]*COS(RADIANS(Targets_DW[[#This Row],[TWA (deg)]]+Targets_DW[[#This Row],[LEEWAY (deg)]])))</f>
        <v>41.896565689070549</v>
      </c>
      <c r="AD34" s="1">
        <f>DEGREES(ASIN(Targets_DW[[#This Row],[TWSTop]]*SIN(RADIANS(Targets_DW[[#This Row],[TWA (deg)]]+Targets_DW[[#This Row],[LEEWAY (deg)]]))/Targets_DW[[#This Row],[AWSTop]]))</f>
        <v>17.554219178127653</v>
      </c>
      <c r="AE34" s="1">
        <f>Targets_DW[[#This Row],[AWA+Leeway Top]]-Targets_DW[[#This Row],[ROT (deg)]]</f>
        <v>6.4042191781276525</v>
      </c>
      <c r="AF34" s="1">
        <f>Targets_DW[[#This Row],[CLEW (deg)]]+Targets_DW[[#This Row],[TWIST (deg)]]</f>
        <v>12.8</v>
      </c>
      <c r="AG34" s="7">
        <f>Targets_DW[[#This Row],[AWA+Leeway Top]]-Targets_DW[[#This Row],[CA6]]</f>
        <v>4.7542191781276522</v>
      </c>
      <c r="AH34" s="1">
        <f>Targets_DW[[#This Row],[AWA+Leeway]]-Targets_DW[[#This Row],[JibLead (deg)]]</f>
        <v>9.284121968143614</v>
      </c>
    </row>
    <row r="35" spans="1:34" x14ac:dyDescent="0.25">
      <c r="A35" s="6" t="s">
        <v>32</v>
      </c>
      <c r="B35" t="s">
        <v>37</v>
      </c>
      <c r="C35" t="s">
        <v>34</v>
      </c>
      <c r="D35">
        <v>24</v>
      </c>
      <c r="E35" t="str">
        <f t="shared" si="0"/>
        <v>Foiling_LAB2_HSRW2-24m</v>
      </c>
      <c r="F35">
        <v>18</v>
      </c>
      <c r="G35" s="1">
        <f>ABS(Targets_DW[[#This Row],[BSP (km/h)]]*COS(RADIANS(Targets_DW[[#This Row],[TWA (deg)]]+Targets_DW[[#This Row],[LEEWAY (deg)]])))</f>
        <v>38.191608237337384</v>
      </c>
      <c r="H35" s="1">
        <v>53.5</v>
      </c>
      <c r="I35" s="1">
        <v>135</v>
      </c>
      <c r="J35" s="1">
        <v>0.55000000000000004</v>
      </c>
      <c r="K35" s="1">
        <v>3</v>
      </c>
      <c r="L35" s="1">
        <v>0.95</v>
      </c>
      <c r="M35" s="1">
        <f>Targets_DW[[#This Row],[CANT (deg)]]-Targets_DW[[#This Row],[HEEL (deg)]]</f>
        <v>2.0499999999999998</v>
      </c>
      <c r="N35" s="1">
        <v>1350</v>
      </c>
      <c r="O35" s="1">
        <v>1.19</v>
      </c>
      <c r="P35" s="1">
        <v>4.45</v>
      </c>
      <c r="Q35" s="1">
        <v>-3</v>
      </c>
      <c r="R35" s="1">
        <v>-24.2</v>
      </c>
      <c r="S35" s="1">
        <f>Targets_DW[[#This Row],[CLEW (deg)]]-0.5*Targets_DW[[#This Row],[CA1 (deg)]]</f>
        <v>11.6</v>
      </c>
      <c r="T35" s="1">
        <v>-0.5</v>
      </c>
      <c r="U35" s="1">
        <v>15</v>
      </c>
      <c r="V35" s="1">
        <v>410</v>
      </c>
      <c r="W35" s="1">
        <v>7.1</v>
      </c>
      <c r="X35" s="1"/>
      <c r="Y35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42.559982418415707</v>
      </c>
      <c r="Z35" s="1">
        <f>DEGREES(ASIN(Targets_DW[[#This Row],[TWS (km/h)]]*SIN(RADIANS(Targets_DW[[#This Row],[TWA (deg)]]+Targets_DW[[#This Row],[LEEWAY (deg)]]))/Targets_DW[[#This Row],[AWS]]))</f>
        <v>17.22794609895805</v>
      </c>
      <c r="AA35" s="1">
        <f>Targets_DW[[#This Row],[AWA+Leeway]]-Targets_DW[[#This Row],[ROT (deg)]]</f>
        <v>5.6279460989580503</v>
      </c>
      <c r="AB35" s="1">
        <f>Targets_DW[[#This Row],[TWS (km/h)]]*(Targets_DW[[#This Row],[Wing]]/10)^0.1</f>
        <v>19.646881661122144</v>
      </c>
      <c r="AC35" s="1">
        <f>SQRT(Targets_DW[[#This Row],[TWSTop]]^2+Targets_DW[[#This Row],[BSP (km/h)]]^2+2*Targets_DW[[#This Row],[BSP (km/h)]]*Targets_DW[[#This Row],[TWSTop]]*COS(RADIANS(Targets_DW[[#This Row],[TWA (deg)]]+Targets_DW[[#This Row],[LEEWAY (deg)]])))</f>
        <v>41.803802985282658</v>
      </c>
      <c r="AD35" s="1">
        <f>DEGREES(ASIN(Targets_DW[[#This Row],[TWSTop]]*SIN(RADIANS(Targets_DW[[#This Row],[TWA (deg)]]+Targets_DW[[#This Row],[LEEWAY (deg)]]))/Targets_DW[[#This Row],[AWSTop]]))</f>
        <v>19.215342339252857</v>
      </c>
      <c r="AE35" s="1">
        <f>Targets_DW[[#This Row],[AWA+Leeway Top]]-Targets_DW[[#This Row],[ROT (deg)]]</f>
        <v>7.615342339252857</v>
      </c>
      <c r="AF35" s="1">
        <f>Targets_DW[[#This Row],[CLEW (deg)]]+Targets_DW[[#This Row],[TWIST (deg)]]</f>
        <v>14.5</v>
      </c>
      <c r="AG35" s="7">
        <f>Targets_DW[[#This Row],[AWA+Leeway Top]]-Targets_DW[[#This Row],[CA6]]</f>
        <v>4.7153423392528566</v>
      </c>
      <c r="AH35" s="1">
        <f>Targets_DW[[#This Row],[AWA+Leeway]]-Targets_DW[[#This Row],[JibLead (deg)]]</f>
        <v>10.12794609895805</v>
      </c>
    </row>
    <row r="36" spans="1:34" x14ac:dyDescent="0.25">
      <c r="A36" s="6" t="s">
        <v>32</v>
      </c>
      <c r="B36" t="s">
        <v>37</v>
      </c>
      <c r="C36" t="s">
        <v>34</v>
      </c>
      <c r="D36">
        <v>24</v>
      </c>
      <c r="E36" t="str">
        <f t="shared" si="0"/>
        <v>Foiling_LAB2_HSRW2-24m</v>
      </c>
      <c r="F36">
        <v>20</v>
      </c>
      <c r="G36" s="1">
        <f>ABS(Targets_DW[[#This Row],[BSP (km/h)]]*COS(RADIANS(Targets_DW[[#This Row],[TWA (deg)]]+Targets_DW[[#This Row],[LEEWAY (deg)]])))</f>
        <v>42.02480819817707</v>
      </c>
      <c r="H36" s="1">
        <v>57</v>
      </c>
      <c r="I36" s="1">
        <v>137</v>
      </c>
      <c r="J36" s="1">
        <v>0.5</v>
      </c>
      <c r="K36" s="1">
        <v>1.2999999999999998</v>
      </c>
      <c r="L36" s="1">
        <v>0.8</v>
      </c>
      <c r="M36" s="1">
        <f>Targets_DW[[#This Row],[CANT (deg)]]-Targets_DW[[#This Row],[HEEL (deg)]]</f>
        <v>0.49999999999999978</v>
      </c>
      <c r="N36" s="1">
        <v>1360</v>
      </c>
      <c r="O36" s="1">
        <v>1.1100000000000001</v>
      </c>
      <c r="P36" s="1">
        <v>4.2516221999999999</v>
      </c>
      <c r="Q36" s="1">
        <v>-3</v>
      </c>
      <c r="R36" s="1">
        <v>-23.5</v>
      </c>
      <c r="S36" s="1">
        <f>Targets_DW[[#This Row],[CLEW (deg)]]-0.5*Targets_DW[[#This Row],[CA1 (deg)]]</f>
        <v>11.85</v>
      </c>
      <c r="T36" s="1">
        <v>0.1</v>
      </c>
      <c r="U36" s="1">
        <v>15.2</v>
      </c>
      <c r="V36" s="1">
        <v>450</v>
      </c>
      <c r="W36" s="1">
        <v>7.4</v>
      </c>
      <c r="X36" s="1"/>
      <c r="Y36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44.362232496493199</v>
      </c>
      <c r="Z36" s="1">
        <f>DEGREES(ASIN(Targets_DW[[#This Row],[TWS (km/h)]]*SIN(RADIANS(Targets_DW[[#This Row],[TWA (deg)]]+Targets_DW[[#This Row],[LEEWAY (deg)]]))/Targets_DW[[#This Row],[AWS]]))</f>
        <v>17.732836986906374</v>
      </c>
      <c r="AA36" s="1">
        <f>Targets_DW[[#This Row],[AWA+Leeway]]-Targets_DW[[#This Row],[ROT (deg)]]</f>
        <v>5.8828369869063746</v>
      </c>
      <c r="AB36" s="1">
        <f>Targets_DW[[#This Row],[TWS (km/h)]]*(Targets_DW[[#This Row],[Wing]]/10)^0.1</f>
        <v>21.82986851235794</v>
      </c>
      <c r="AC36" s="1">
        <f>SQRT(Targets_DW[[#This Row],[TWSTop]]^2+Targets_DW[[#This Row],[BSP (km/h)]]^2+2*Targets_DW[[#This Row],[BSP (km/h)]]*Targets_DW[[#This Row],[TWSTop]]*COS(RADIANS(Targets_DW[[#This Row],[TWA (deg)]]+Targets_DW[[#This Row],[LEEWAY (deg)]])))</f>
        <v>43.482767676636016</v>
      </c>
      <c r="AD36" s="1">
        <f>DEGREES(ASIN(Targets_DW[[#This Row],[TWSTop]]*SIN(RADIANS(Targets_DW[[#This Row],[TWA (deg)]]+Targets_DW[[#This Row],[LEEWAY (deg)]]))/Targets_DW[[#This Row],[AWSTop]]))</f>
        <v>19.826307180385196</v>
      </c>
      <c r="AE36" s="1">
        <f>Targets_DW[[#This Row],[AWA+Leeway Top]]-Targets_DW[[#This Row],[ROT (deg)]]</f>
        <v>7.9763071803851968</v>
      </c>
      <c r="AF36" s="1">
        <f>Targets_DW[[#This Row],[CLEW (deg)]]+Targets_DW[[#This Row],[TWIST (deg)]]</f>
        <v>15.299999999999999</v>
      </c>
      <c r="AG36" s="7">
        <f>Targets_DW[[#This Row],[AWA+Leeway Top]]-Targets_DW[[#This Row],[CA6]]</f>
        <v>4.5263071803851975</v>
      </c>
      <c r="AH36" s="1">
        <f>Targets_DW[[#This Row],[AWA+Leeway]]-Targets_DW[[#This Row],[JibLead (deg)]]</f>
        <v>10.332836986906374</v>
      </c>
    </row>
    <row r="37" spans="1:34" x14ac:dyDescent="0.25">
      <c r="A37" s="6" t="s">
        <v>32</v>
      </c>
      <c r="B37" t="s">
        <v>37</v>
      </c>
      <c r="C37" t="s">
        <v>34</v>
      </c>
      <c r="D37">
        <v>24</v>
      </c>
      <c r="E37" t="str">
        <f t="shared" si="0"/>
        <v>Foiling_LAB2_HSRW2-24m</v>
      </c>
      <c r="F37">
        <v>22</v>
      </c>
      <c r="G37" s="1">
        <f>ABS(Targets_DW[[#This Row],[BSP (km/h)]]*COS(RADIANS(Targets_DW[[#This Row],[TWA (deg)]]+Targets_DW[[#This Row],[LEEWAY (deg)]])))</f>
        <v>45.665941573479259</v>
      </c>
      <c r="H37" s="1">
        <v>60.6</v>
      </c>
      <c r="I37" s="1">
        <v>138.5</v>
      </c>
      <c r="J37" s="1">
        <v>0.4</v>
      </c>
      <c r="K37" s="1">
        <v>-0.39999999999999991</v>
      </c>
      <c r="L37" s="1">
        <v>0.6</v>
      </c>
      <c r="M37" s="1">
        <f>Targets_DW[[#This Row],[CANT (deg)]]-Targets_DW[[#This Row],[HEEL (deg)]]</f>
        <v>-0.99999999999999989</v>
      </c>
      <c r="N37" s="1">
        <v>1350</v>
      </c>
      <c r="O37" s="1">
        <v>1.01</v>
      </c>
      <c r="P37" s="1">
        <v>4.1259712299999904</v>
      </c>
      <c r="Q37" s="1">
        <v>-3</v>
      </c>
      <c r="R37" s="1">
        <v>-23</v>
      </c>
      <c r="S37" s="1">
        <f>Targets_DW[[#This Row],[CLEW (deg)]]-0.5*Targets_DW[[#This Row],[CA1 (deg)]]</f>
        <v>12.1</v>
      </c>
      <c r="T37" s="1">
        <v>0.6</v>
      </c>
      <c r="U37" s="1">
        <v>15</v>
      </c>
      <c r="V37" s="1">
        <v>520</v>
      </c>
      <c r="W37" s="1">
        <v>7.6</v>
      </c>
      <c r="X37" s="1"/>
      <c r="Y37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46.33636337442671</v>
      </c>
      <c r="Z37" s="1">
        <f>DEGREES(ASIN(Targets_DW[[#This Row],[TWS (km/h)]]*SIN(RADIANS(Targets_DW[[#This Row],[TWA (deg)]]+Targets_DW[[#This Row],[LEEWAY (deg)]]))/Targets_DW[[#This Row],[AWS]]))</f>
        <v>18.186712262779167</v>
      </c>
      <c r="AA37" s="1">
        <f>Targets_DW[[#This Row],[AWA+Leeway]]-Targets_DW[[#This Row],[ROT (deg)]]</f>
        <v>6.0867122627791677</v>
      </c>
      <c r="AB37" s="1">
        <f>Targets_DW[[#This Row],[TWS (km/h)]]*(Targets_DW[[#This Row],[Wing]]/10)^0.1</f>
        <v>24.012855363593733</v>
      </c>
      <c r="AC37" s="1">
        <f>SQRT(Targets_DW[[#This Row],[TWSTop]]^2+Targets_DW[[#This Row],[BSP (km/h)]]^2+2*Targets_DW[[#This Row],[BSP (km/h)]]*Targets_DW[[#This Row],[TWSTop]]*COS(RADIANS(Targets_DW[[#This Row],[TWA (deg)]]+Targets_DW[[#This Row],[LEEWAY (deg)]])))</f>
        <v>45.341348928106598</v>
      </c>
      <c r="AD37" s="1">
        <f>DEGREES(ASIN(Targets_DW[[#This Row],[TWSTop]]*SIN(RADIANS(Targets_DW[[#This Row],[TWA (deg)]]+Targets_DW[[#This Row],[LEEWAY (deg)]]))/Targets_DW[[#This Row],[AWSTop]]))</f>
        <v>20.374021988180623</v>
      </c>
      <c r="AE37" s="1">
        <f>Targets_DW[[#This Row],[AWA+Leeway Top]]-Targets_DW[[#This Row],[ROT (deg)]]</f>
        <v>8.274021988180623</v>
      </c>
      <c r="AF37" s="1">
        <f>Targets_DW[[#This Row],[CLEW (deg)]]+Targets_DW[[#This Row],[TWIST (deg)]]</f>
        <v>15.6</v>
      </c>
      <c r="AG37" s="7">
        <f>Targets_DW[[#This Row],[AWA+Leeway Top]]-Targets_DW[[#This Row],[CA6]]</f>
        <v>4.774021988180623</v>
      </c>
      <c r="AH37" s="1">
        <f>Targets_DW[[#This Row],[AWA+Leeway]]-Targets_DW[[#This Row],[JibLead (deg)]]</f>
        <v>10.586712262779168</v>
      </c>
    </row>
    <row r="38" spans="1:34" x14ac:dyDescent="0.25">
      <c r="A38" s="6" t="s">
        <v>32</v>
      </c>
      <c r="B38" t="s">
        <v>37</v>
      </c>
      <c r="C38" t="s">
        <v>34</v>
      </c>
      <c r="D38">
        <v>24</v>
      </c>
      <c r="E38" t="str">
        <f t="shared" si="0"/>
        <v>Foiling_LAB2_HSRW2-24m</v>
      </c>
      <c r="F38">
        <v>24</v>
      </c>
      <c r="G38" s="1">
        <f>ABS(Targets_DW[[#This Row],[BSP (km/h)]]*COS(RADIANS(Targets_DW[[#This Row],[TWA (deg)]]+Targets_DW[[#This Row],[LEEWAY (deg)]])))</f>
        <v>50.884062558459107</v>
      </c>
      <c r="H38" s="1">
        <v>65.2</v>
      </c>
      <c r="I38" s="1">
        <v>141</v>
      </c>
      <c r="J38" s="1">
        <v>0.3</v>
      </c>
      <c r="K38" s="1">
        <v>-1.8</v>
      </c>
      <c r="L38" s="1">
        <v>0.4</v>
      </c>
      <c r="M38" s="1">
        <f>Targets_DW[[#This Row],[CANT (deg)]]-Targets_DW[[#This Row],[HEEL (deg)]]</f>
        <v>-2.2000000000000002</v>
      </c>
      <c r="N38" s="1">
        <v>1325</v>
      </c>
      <c r="O38" s="1">
        <v>0.87</v>
      </c>
      <c r="P38" s="1">
        <v>4.0999999999999996</v>
      </c>
      <c r="Q38" s="1">
        <v>-3</v>
      </c>
      <c r="R38" s="1">
        <v>-22.6</v>
      </c>
      <c r="S38" s="1">
        <f>Targets_DW[[#This Row],[CLEW (deg)]]-0.5*Targets_DW[[#This Row],[CA1 (deg)]]</f>
        <v>12.4</v>
      </c>
      <c r="T38" s="1">
        <v>1.1000000000000001</v>
      </c>
      <c r="U38" s="1">
        <v>14.5</v>
      </c>
      <c r="V38" s="1">
        <v>600</v>
      </c>
      <c r="W38" s="1">
        <v>7.8</v>
      </c>
      <c r="X38" s="1"/>
      <c r="Y38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48.832417482590017</v>
      </c>
      <c r="Z38" s="1">
        <f>DEGREES(ASIN(Targets_DW[[#This Row],[TWS (km/h)]]*SIN(RADIANS(Targets_DW[[#This Row],[TWA (deg)]]+Targets_DW[[#This Row],[LEEWAY (deg)]]))/Targets_DW[[#This Row],[AWS]]))</f>
        <v>17.896124821457441</v>
      </c>
      <c r="AA38" s="1">
        <f>Targets_DW[[#This Row],[AWA+Leeway]]-Targets_DW[[#This Row],[ROT (deg)]]</f>
        <v>5.4961248214574407</v>
      </c>
      <c r="AB38" s="1">
        <f>Targets_DW[[#This Row],[TWS (km/h)]]*(Targets_DW[[#This Row],[Wing]]/10)^0.1</f>
        <v>26.195842214829526</v>
      </c>
      <c r="AC38" s="1">
        <f>SQRT(Targets_DW[[#This Row],[TWSTop]]^2+Targets_DW[[#This Row],[BSP (km/h)]]^2+2*Targets_DW[[#This Row],[BSP (km/h)]]*Targets_DW[[#This Row],[TWSTop]]*COS(RADIANS(Targets_DW[[#This Row],[TWA (deg)]]+Targets_DW[[#This Row],[LEEWAY (deg)]])))</f>
        <v>47.658791437492681</v>
      </c>
      <c r="AD38" s="1">
        <f>DEGREES(ASIN(Targets_DW[[#This Row],[TWSTop]]*SIN(RADIANS(Targets_DW[[#This Row],[TWA (deg)]]+Targets_DW[[#This Row],[LEEWAY (deg)]]))/Targets_DW[[#This Row],[AWSTop]]))</f>
        <v>20.100450958297071</v>
      </c>
      <c r="AE38" s="1">
        <f>Targets_DW[[#This Row],[AWA+Leeway Top]]-Targets_DW[[#This Row],[ROT (deg)]]</f>
        <v>7.7004509582970702</v>
      </c>
      <c r="AF38" s="1">
        <f>Targets_DW[[#This Row],[CLEW (deg)]]+Targets_DW[[#This Row],[TWIST (deg)]]</f>
        <v>15.6</v>
      </c>
      <c r="AG38" s="7">
        <f>Targets_DW[[#This Row],[AWA+Leeway Top]]-Targets_DW[[#This Row],[CA6]]</f>
        <v>4.5004509582970709</v>
      </c>
      <c r="AH38" s="1">
        <f>Targets_DW[[#This Row],[AWA+Leeway]]-Targets_DW[[#This Row],[JibLead (deg)]]</f>
        <v>10.09612482145744</v>
      </c>
    </row>
    <row r="39" spans="1:34" x14ac:dyDescent="0.25">
      <c r="A39" s="6" t="s">
        <v>32</v>
      </c>
      <c r="B39" t="s">
        <v>37</v>
      </c>
      <c r="C39" t="s">
        <v>34</v>
      </c>
      <c r="D39">
        <v>24</v>
      </c>
      <c r="E39" t="str">
        <f t="shared" si="0"/>
        <v>Foiling_LAB2_HSRW2-24m</v>
      </c>
      <c r="F39">
        <v>26</v>
      </c>
      <c r="G39" s="1">
        <f>ABS(Targets_DW[[#This Row],[BSP (km/h)]]*COS(RADIANS(Targets_DW[[#This Row],[TWA (deg)]]+Targets_DW[[#This Row],[LEEWAY (deg)]])))</f>
        <v>55.810976555126715</v>
      </c>
      <c r="H39" s="1">
        <v>69.7</v>
      </c>
      <c r="I39" s="1">
        <v>143</v>
      </c>
      <c r="J39" s="1">
        <v>0.2</v>
      </c>
      <c r="K39" s="1">
        <v>-3.3</v>
      </c>
      <c r="L39" s="1">
        <v>0.2</v>
      </c>
      <c r="M39" s="1">
        <f>Targets_DW[[#This Row],[CANT (deg)]]-Targets_DW[[#This Row],[HEEL (deg)]]</f>
        <v>-3.5</v>
      </c>
      <c r="N39" s="1">
        <v>1300</v>
      </c>
      <c r="O39" s="1">
        <v>0.69</v>
      </c>
      <c r="P39" s="1">
        <v>4.05</v>
      </c>
      <c r="Q39" s="1">
        <v>-3</v>
      </c>
      <c r="R39" s="1">
        <v>-22.3</v>
      </c>
      <c r="S39" s="1">
        <f>Targets_DW[[#This Row],[CLEW (deg)]]-0.5*Targets_DW[[#This Row],[CA1 (deg)]]</f>
        <v>12.75</v>
      </c>
      <c r="T39" s="1">
        <v>1.6</v>
      </c>
      <c r="U39" s="1">
        <v>14</v>
      </c>
      <c r="V39" s="1">
        <v>675</v>
      </c>
      <c r="W39" s="1">
        <v>7.9</v>
      </c>
      <c r="X39" s="1"/>
      <c r="Y39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51.30223405596886</v>
      </c>
      <c r="Z39" s="1">
        <f>DEGREES(ASIN(Targets_DW[[#This Row],[TWS (km/h)]]*SIN(RADIANS(Targets_DW[[#This Row],[TWA (deg)]]+Targets_DW[[#This Row],[LEEWAY (deg)]]))/Targets_DW[[#This Row],[AWS]]))</f>
        <v>17.673083469630775</v>
      </c>
      <c r="AA39" s="1">
        <f>Targets_DW[[#This Row],[AWA+Leeway]]-Targets_DW[[#This Row],[ROT (deg)]]</f>
        <v>4.9230834696307753</v>
      </c>
      <c r="AB39" s="1">
        <f>Targets_DW[[#This Row],[TWS (km/h)]]*(Targets_DW[[#This Row],[Wing]]/10)^0.1</f>
        <v>28.378829066065322</v>
      </c>
      <c r="AC39" s="1">
        <f>SQRT(Targets_DW[[#This Row],[TWSTop]]^2+Targets_DW[[#This Row],[BSP (km/h)]]^2+2*Targets_DW[[#This Row],[BSP (km/h)]]*Targets_DW[[#This Row],[TWSTop]]*COS(RADIANS(Targets_DW[[#This Row],[TWA (deg)]]+Targets_DW[[#This Row],[LEEWAY (deg)]])))</f>
        <v>49.957458020046552</v>
      </c>
      <c r="AD39" s="1">
        <f>DEGREES(ASIN(Targets_DW[[#This Row],[TWSTop]]*SIN(RADIANS(Targets_DW[[#This Row],[TWA (deg)]]+Targets_DW[[#This Row],[LEEWAY (deg)]]))/Targets_DW[[#This Row],[AWSTop]]))</f>
        <v>19.89401275726356</v>
      </c>
      <c r="AE39" s="1">
        <f>Targets_DW[[#This Row],[AWA+Leeway Top]]-Targets_DW[[#This Row],[ROT (deg)]]</f>
        <v>7.1440127572635603</v>
      </c>
      <c r="AF39" s="1">
        <f>Targets_DW[[#This Row],[CLEW (deg)]]+Targets_DW[[#This Row],[TWIST (deg)]]</f>
        <v>15.6</v>
      </c>
      <c r="AG39" s="7">
        <f>Targets_DW[[#This Row],[AWA+Leeway Top]]-Targets_DW[[#This Row],[CA6]]</f>
        <v>4.2940127572635607</v>
      </c>
      <c r="AH39" s="1">
        <f>Targets_DW[[#This Row],[AWA+Leeway]]-Targets_DW[[#This Row],[JibLead (deg)]]</f>
        <v>9.7730834696307749</v>
      </c>
    </row>
    <row r="40" spans="1:34" ht="15.75" thickBot="1" x14ac:dyDescent="0.3">
      <c r="A40" s="8" t="s">
        <v>32</v>
      </c>
      <c r="B40" s="9" t="s">
        <v>37</v>
      </c>
      <c r="C40" s="9" t="s">
        <v>34</v>
      </c>
      <c r="D40" s="9">
        <v>24</v>
      </c>
      <c r="E40" s="9" t="str">
        <f t="shared" si="0"/>
        <v>Foiling_LAB2_HSRW2-24m</v>
      </c>
      <c r="F40" s="9">
        <v>28</v>
      </c>
      <c r="G40" s="10">
        <f>ABS(Targets_DW[[#This Row],[BSP (km/h)]]*COS(RADIANS(Targets_DW[[#This Row],[TWA (deg)]]+Targets_DW[[#This Row],[LEEWAY (deg)]])))</f>
        <v>60.230954147915803</v>
      </c>
      <c r="H40" s="10">
        <v>73.8</v>
      </c>
      <c r="I40" s="10">
        <v>144.5</v>
      </c>
      <c r="J40" s="10">
        <v>0.2</v>
      </c>
      <c r="K40" s="10">
        <v>-4.5</v>
      </c>
      <c r="L40" s="10">
        <v>0</v>
      </c>
      <c r="M40" s="10">
        <f>Targets_DW[[#This Row],[CANT (deg)]]-Targets_DW[[#This Row],[HEEL (deg)]]</f>
        <v>-4.5</v>
      </c>
      <c r="N40" s="10">
        <v>1275</v>
      </c>
      <c r="O40" s="10">
        <v>0.52</v>
      </c>
      <c r="P40" s="10">
        <v>4.08</v>
      </c>
      <c r="Q40" s="10">
        <v>-3</v>
      </c>
      <c r="R40" s="10">
        <v>-22</v>
      </c>
      <c r="S40" s="10">
        <f>Targets_DW[[#This Row],[CLEW (deg)]]-0.5*Targets_DW[[#This Row],[CA1 (deg)]]</f>
        <v>13</v>
      </c>
      <c r="T40" s="10">
        <v>2</v>
      </c>
      <c r="U40" s="10">
        <v>13.5</v>
      </c>
      <c r="V40" s="10">
        <v>750</v>
      </c>
      <c r="W40" s="10">
        <v>8</v>
      </c>
      <c r="X40" s="10"/>
      <c r="Y40" s="10">
        <f>SQRT(Targets_DW[[#This Row],[TWS (km/h)]]^2+Targets_DW[[#This Row],[BSP (km/h)]]^2+2*Targets_DW[[#This Row],[TWS (km/h)]]*Targets_DW[[#This Row],[BSP (km/h)]]*COS(RADIANS(Targets_DW[[#This Row],[TWA (deg)]]+Targets_DW[[#This Row],[LEEWAY (deg)]])))</f>
        <v>53.455650475106133</v>
      </c>
      <c r="Z40" s="10">
        <f>DEGREES(ASIN(Targets_DW[[#This Row],[TWS (km/h)]]*SIN(RADIANS(Targets_DW[[#This Row],[TWA (deg)]]+Targets_DW[[#This Row],[LEEWAY (deg)]]))/Targets_DW[[#This Row],[AWS]]))</f>
        <v>17.618705785970359</v>
      </c>
      <c r="AA40" s="10">
        <f>Targets_DW[[#This Row],[AWA+Leeway]]-Targets_DW[[#This Row],[ROT (deg)]]</f>
        <v>4.6187057859703593</v>
      </c>
      <c r="AB40" s="10">
        <f>Targets_DW[[#This Row],[TWS (km/h)]]*(Targets_DW[[#This Row],[Wing]]/10)^0.1</f>
        <v>30.561815917301114</v>
      </c>
      <c r="AC40" s="10">
        <f>SQRT(Targets_DW[[#This Row],[TWSTop]]^2+Targets_DW[[#This Row],[BSP (km/h)]]^2+2*Targets_DW[[#This Row],[BSP (km/h)]]*Targets_DW[[#This Row],[TWSTop]]*COS(RADIANS(Targets_DW[[#This Row],[TWA (deg)]]+Targets_DW[[#This Row],[LEEWAY (deg)]])))</f>
        <v>51.951226412655409</v>
      </c>
      <c r="AD40" s="10">
        <f>DEGREES(ASIN(Targets_DW[[#This Row],[TWSTop]]*SIN(RADIANS(Targets_DW[[#This Row],[TWA (deg)]]+Targets_DW[[#This Row],[LEEWAY (deg)]]))/Targets_DW[[#This Row],[AWSTop]]))</f>
        <v>19.873310572486488</v>
      </c>
      <c r="AE40" s="10">
        <f>Targets_DW[[#This Row],[AWA+Leeway Top]]-Targets_DW[[#This Row],[ROT (deg)]]</f>
        <v>6.8733105724864885</v>
      </c>
      <c r="AF40" s="10">
        <f>Targets_DW[[#This Row],[CLEW (deg)]]+Targets_DW[[#This Row],[TWIST (deg)]]</f>
        <v>15.5</v>
      </c>
      <c r="AG40" s="11">
        <f>Targets_DW[[#This Row],[AWA+Leeway Top]]-Targets_DW[[#This Row],[CA6]]</f>
        <v>4.3733105724864885</v>
      </c>
      <c r="AH40" s="1">
        <f>Targets_DW[[#This Row],[AWA+Leeway]]-Targets_DW[[#This Row],[JibLead (deg)]]</f>
        <v>9.6187057859703593</v>
      </c>
    </row>
    <row r="41" spans="1:34" x14ac:dyDescent="0.25">
      <c r="A41" s="2" t="s">
        <v>32</v>
      </c>
      <c r="B41" s="3" t="s">
        <v>37</v>
      </c>
      <c r="C41" s="3" t="s">
        <v>36</v>
      </c>
      <c r="D41" s="3">
        <v>24</v>
      </c>
      <c r="E41" s="3" t="str">
        <f t="shared" si="0"/>
        <v>Foiling_LAB2_LARW2-24m</v>
      </c>
      <c r="F41" s="3">
        <v>14</v>
      </c>
      <c r="G41" s="4">
        <f>ABS(Targets_DW[[#This Row],[BSP (km/h)]]*COS(RADIANS(Targets_DW[[#This Row],[TWA (deg)]]+Targets_DW[[#This Row],[LEEWAY (deg)]])))</f>
        <v>32.737040685866987</v>
      </c>
      <c r="H41" s="4">
        <v>50</v>
      </c>
      <c r="I41" s="4">
        <v>130</v>
      </c>
      <c r="J41" s="4">
        <v>0.9</v>
      </c>
      <c r="K41" s="4">
        <v>4</v>
      </c>
      <c r="L41" s="4">
        <v>1.2</v>
      </c>
      <c r="M41" s="4">
        <f>Targets_DW[[#This Row],[CANT (deg)]]-Targets_DW[[#This Row],[HEEL (deg)]]</f>
        <v>2.8</v>
      </c>
      <c r="N41" s="4">
        <v>1310</v>
      </c>
      <c r="O41" s="4">
        <v>0.7</v>
      </c>
      <c r="P41" s="4">
        <v>2.8</v>
      </c>
      <c r="Q41" s="4">
        <v>-3</v>
      </c>
      <c r="R41" s="4">
        <v>-25.5</v>
      </c>
      <c r="S41" s="4">
        <f>Targets_DW[[#This Row],[CLEW (deg)]]-0.5*Targets_DW[[#This Row],[CA1 (deg)]]</f>
        <v>10.75</v>
      </c>
      <c r="T41" s="4">
        <v>-2</v>
      </c>
      <c r="U41" s="4">
        <v>13.5</v>
      </c>
      <c r="V41" s="4">
        <v>385</v>
      </c>
      <c r="W41" s="4">
        <v>6</v>
      </c>
      <c r="X41" s="4">
        <v>630</v>
      </c>
      <c r="Y41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42.182494719915802</v>
      </c>
      <c r="Z41" s="4">
        <f>DEGREES(ASIN(Targets_DW[[#This Row],[TWS (km/h)]]*SIN(RADIANS(Targets_DW[[#This Row],[TWA (deg)]]+Targets_DW[[#This Row],[LEEWAY (deg)]]))/Targets_DW[[#This Row],[AWS]]))</f>
        <v>14.528475651460624</v>
      </c>
      <c r="AA41" s="4">
        <f>Targets_DW[[#This Row],[AWA+Leeway]]-Targets_DW[[#This Row],[ROT (deg)]]</f>
        <v>3.7784756514606244</v>
      </c>
      <c r="AB41" s="4">
        <f>Targets_DW[[#This Row],[TWS (km/h)]]*(Targets_DW[[#This Row],[Wing]]/10)^0.1</f>
        <v>15.280907958650557</v>
      </c>
      <c r="AC41" s="4">
        <f>SQRT(Targets_DW[[#This Row],[TWSTop]]^2+Targets_DW[[#This Row],[BSP (km/h)]]^2+2*Targets_DW[[#This Row],[BSP (km/h)]]*Targets_DW[[#This Row],[TWSTop]]*COS(RADIANS(Targets_DW[[#This Row],[TWA (deg)]]+Targets_DW[[#This Row],[LEEWAY (deg)]])))</f>
        <v>41.629349465516349</v>
      </c>
      <c r="AD41" s="4">
        <f>DEGREES(ASIN(Targets_DW[[#This Row],[TWSTop]]*SIN(RADIANS(Targets_DW[[#This Row],[TWA (deg)]]+Targets_DW[[#This Row],[LEEWAY (deg)]]))/Targets_DW[[#This Row],[AWSTop]]))</f>
        <v>16.108163614955206</v>
      </c>
      <c r="AE41" s="4">
        <f>Targets_DW[[#This Row],[AWA+Leeway Top]]-Targets_DW[[#This Row],[ROT (deg)]]</f>
        <v>5.3581636149552061</v>
      </c>
      <c r="AF41" s="4">
        <f>Targets_DW[[#This Row],[CLEW (deg)]]+Targets_DW[[#This Row],[TWIST (deg)]]</f>
        <v>11.5</v>
      </c>
      <c r="AG41" s="5">
        <f>Targets_DW[[#This Row],[AWA+Leeway Top]]-Targets_DW[[#This Row],[CA6]]</f>
        <v>4.6081636149552061</v>
      </c>
      <c r="AH41" s="1">
        <f>Targets_DW[[#This Row],[AWA+Leeway]]-Targets_DW[[#This Row],[JibLead (deg)]]</f>
        <v>8.5284756514606244</v>
      </c>
    </row>
    <row r="42" spans="1:34" x14ac:dyDescent="0.25">
      <c r="A42" s="6" t="s">
        <v>32</v>
      </c>
      <c r="B42" t="s">
        <v>37</v>
      </c>
      <c r="C42" t="s">
        <v>36</v>
      </c>
      <c r="D42">
        <v>24</v>
      </c>
      <c r="E42" t="str">
        <f t="shared" si="0"/>
        <v>Foiling_LAB2_LARW2-24m</v>
      </c>
      <c r="F42">
        <v>16</v>
      </c>
      <c r="G42" s="1">
        <f>ABS(Targets_DW[[#This Row],[BSP (km/h)]]*COS(RADIANS(Targets_DW[[#This Row],[TWA (deg)]]+Targets_DW[[#This Row],[LEEWAY (deg)]])))</f>
        <v>35.202813251956293</v>
      </c>
      <c r="H42" s="1">
        <v>51</v>
      </c>
      <c r="I42" s="1">
        <v>133</v>
      </c>
      <c r="J42" s="1">
        <v>0.65</v>
      </c>
      <c r="K42" s="1">
        <v>4</v>
      </c>
      <c r="L42" s="1">
        <v>1.1000000000000001</v>
      </c>
      <c r="M42" s="1">
        <f>Targets_DW[[#This Row],[CANT (deg)]]-Targets_DW[[#This Row],[HEEL (deg)]]</f>
        <v>2.9</v>
      </c>
      <c r="N42" s="1">
        <v>1330</v>
      </c>
      <c r="O42" s="1">
        <v>0.56999999999999995</v>
      </c>
      <c r="P42" s="1">
        <v>2.82</v>
      </c>
      <c r="Q42" s="1">
        <v>-3</v>
      </c>
      <c r="R42" s="1">
        <v>-25</v>
      </c>
      <c r="S42" s="1">
        <f>Targets_DW[[#This Row],[CLEW (deg)]]-0.5*Targets_DW[[#This Row],[CA1 (deg)]]</f>
        <v>11.3</v>
      </c>
      <c r="T42" s="1">
        <v>-1.2</v>
      </c>
      <c r="U42" s="1">
        <v>14.5</v>
      </c>
      <c r="V42" s="1">
        <v>375</v>
      </c>
      <c r="W42" s="1">
        <v>6.5</v>
      </c>
      <c r="X42" s="1">
        <v>600</v>
      </c>
      <c r="Y42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41.599398744902537</v>
      </c>
      <c r="Z42" s="1">
        <f>DEGREES(ASIN(Targets_DW[[#This Row],[TWS (km/h)]]*SIN(RADIANS(Targets_DW[[#This Row],[TWA (deg)]]+Targets_DW[[#This Row],[LEEWAY (deg)]]))/Targets_DW[[#This Row],[AWS]]))</f>
        <v>16.158775011424943</v>
      </c>
      <c r="AA42" s="1">
        <f>Targets_DW[[#This Row],[AWA+Leeway]]-Targets_DW[[#This Row],[ROT (deg)]]</f>
        <v>4.8587750114249424</v>
      </c>
      <c r="AB42" s="1">
        <f>Targets_DW[[#This Row],[TWS (km/h)]]*(Targets_DW[[#This Row],[Wing]]/10)^0.1</f>
        <v>17.463894809886352</v>
      </c>
      <c r="AC42" s="1">
        <f>SQRT(Targets_DW[[#This Row],[TWSTop]]^2+Targets_DW[[#This Row],[BSP (km/h)]]^2+2*Targets_DW[[#This Row],[BSP (km/h)]]*Targets_DW[[#This Row],[TWSTop]]*COS(RADIANS(Targets_DW[[#This Row],[TWA (deg)]]+Targets_DW[[#This Row],[LEEWAY (deg)]])))</f>
        <v>40.944244609496693</v>
      </c>
      <c r="AD42" s="1">
        <f>DEGREES(ASIN(Targets_DW[[#This Row],[TWSTop]]*SIN(RADIANS(Targets_DW[[#This Row],[TWA (deg)]]+Targets_DW[[#This Row],[LEEWAY (deg)]]))/Targets_DW[[#This Row],[AWSTop]]))</f>
        <v>17.97628170893606</v>
      </c>
      <c r="AE42" s="1">
        <f>Targets_DW[[#This Row],[AWA+Leeway Top]]-Targets_DW[[#This Row],[ROT (deg)]]</f>
        <v>6.6762817089360595</v>
      </c>
      <c r="AF42" s="1">
        <f>Targets_DW[[#This Row],[CLEW (deg)]]+Targets_DW[[#This Row],[TWIST (deg)]]</f>
        <v>13.3</v>
      </c>
      <c r="AG42" s="7">
        <f>Targets_DW[[#This Row],[AWA+Leeway Top]]-Targets_DW[[#This Row],[CA6]]</f>
        <v>4.6762817089360595</v>
      </c>
      <c r="AH42" s="1">
        <f>Targets_DW[[#This Row],[AWA+Leeway]]-Targets_DW[[#This Row],[JibLead (deg)]]</f>
        <v>9.6587750114249431</v>
      </c>
    </row>
    <row r="43" spans="1:34" x14ac:dyDescent="0.25">
      <c r="A43" s="6" t="s">
        <v>32</v>
      </c>
      <c r="B43" t="s">
        <v>37</v>
      </c>
      <c r="C43" t="s">
        <v>36</v>
      </c>
      <c r="D43">
        <v>24</v>
      </c>
      <c r="E43" t="str">
        <f t="shared" si="0"/>
        <v>Foiling_LAB2_LARW2-24m</v>
      </c>
      <c r="F43">
        <v>18</v>
      </c>
      <c r="G43" s="1">
        <f>ABS(Targets_DW[[#This Row],[BSP (km/h)]]*COS(RADIANS(Targets_DW[[#This Row],[TWA (deg)]]+Targets_DW[[#This Row],[LEEWAY (deg)]])))</f>
        <v>37.477746401125465</v>
      </c>
      <c r="H43" s="1">
        <v>52.5</v>
      </c>
      <c r="I43" s="1">
        <v>135</v>
      </c>
      <c r="J43" s="1">
        <v>0.55000000000000004</v>
      </c>
      <c r="K43" s="1">
        <v>3.5</v>
      </c>
      <c r="L43" s="1">
        <v>0.95</v>
      </c>
      <c r="M43" s="1">
        <f>Targets_DW[[#This Row],[CANT (deg)]]-Targets_DW[[#This Row],[HEEL (deg)]]</f>
        <v>2.5499999999999998</v>
      </c>
      <c r="N43" s="1">
        <v>1350</v>
      </c>
      <c r="O43" s="1">
        <v>0.38</v>
      </c>
      <c r="P43" s="1">
        <v>2.8</v>
      </c>
      <c r="Q43" s="1">
        <v>-3</v>
      </c>
      <c r="R43" s="1">
        <v>-24.5</v>
      </c>
      <c r="S43" s="1">
        <f>Targets_DW[[#This Row],[CLEW (deg)]]-0.5*Targets_DW[[#This Row],[CA1 (deg)]]</f>
        <v>11.75</v>
      </c>
      <c r="T43" s="1">
        <v>-0.5</v>
      </c>
      <c r="U43" s="1">
        <v>15.5</v>
      </c>
      <c r="V43" s="1">
        <v>375</v>
      </c>
      <c r="W43" s="1">
        <v>7.2</v>
      </c>
      <c r="X43" s="1">
        <v>600</v>
      </c>
      <c r="Y43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41.605902580757494</v>
      </c>
      <c r="Z43" s="1">
        <f>DEGREES(ASIN(Targets_DW[[#This Row],[TWS (km/h)]]*SIN(RADIANS(Targets_DW[[#This Row],[TWA (deg)]]+Targets_DW[[#This Row],[LEEWAY (deg)]]))/Targets_DW[[#This Row],[AWS]]))</f>
        <v>17.635812766711695</v>
      </c>
      <c r="AA43" s="1">
        <f>Targets_DW[[#This Row],[AWA+Leeway]]-Targets_DW[[#This Row],[ROT (deg)]]</f>
        <v>5.8858127667116946</v>
      </c>
      <c r="AB43" s="1">
        <f>Targets_DW[[#This Row],[TWS (km/h)]]*(Targets_DW[[#This Row],[Wing]]/10)^0.1</f>
        <v>19.646881661122144</v>
      </c>
      <c r="AC43" s="1">
        <f>SQRT(Targets_DW[[#This Row],[TWSTop]]^2+Targets_DW[[#This Row],[BSP (km/h)]]^2+2*Targets_DW[[#This Row],[BSP (km/h)]]*Targets_DW[[#This Row],[TWSTop]]*COS(RADIANS(Targets_DW[[#This Row],[TWA (deg)]]+Targets_DW[[#This Row],[LEEWAY (deg)]])))</f>
        <v>40.860840202683313</v>
      </c>
      <c r="AD43" s="1">
        <f>DEGREES(ASIN(Targets_DW[[#This Row],[TWSTop]]*SIN(RADIANS(Targets_DW[[#This Row],[TWA (deg)]]+Targets_DW[[#This Row],[LEEWAY (deg)]]))/Targets_DW[[#This Row],[AWSTop]]))</f>
        <v>19.676844426834009</v>
      </c>
      <c r="AE43" s="1">
        <f>Targets_DW[[#This Row],[AWA+Leeway Top]]-Targets_DW[[#This Row],[ROT (deg)]]</f>
        <v>7.926844426834009</v>
      </c>
      <c r="AF43" s="1">
        <f>Targets_DW[[#This Row],[CLEW (deg)]]+Targets_DW[[#This Row],[TWIST (deg)]]</f>
        <v>15</v>
      </c>
      <c r="AG43" s="7">
        <f>Targets_DW[[#This Row],[AWA+Leeway Top]]-Targets_DW[[#This Row],[CA6]]</f>
        <v>4.676844426834009</v>
      </c>
      <c r="AH43" s="1">
        <f>Targets_DW[[#This Row],[AWA+Leeway]]-Targets_DW[[#This Row],[JibLead (deg)]]</f>
        <v>10.435812766711695</v>
      </c>
    </row>
    <row r="44" spans="1:34" x14ac:dyDescent="0.25">
      <c r="A44" s="6" t="s">
        <v>32</v>
      </c>
      <c r="B44" t="s">
        <v>37</v>
      </c>
      <c r="C44" t="s">
        <v>36</v>
      </c>
      <c r="D44">
        <v>24</v>
      </c>
      <c r="E44" t="str">
        <f t="shared" si="0"/>
        <v>Foiling_LAB2_LARW2-24m</v>
      </c>
      <c r="F44">
        <v>20</v>
      </c>
      <c r="G44" s="1">
        <f>ABS(Targets_DW[[#This Row],[BSP (km/h)]]*COS(RADIANS(Targets_DW[[#This Row],[TWA (deg)]]+Targets_DW[[#This Row],[LEEWAY (deg)]])))</f>
        <v>40.550253524556815</v>
      </c>
      <c r="H44" s="1">
        <v>55</v>
      </c>
      <c r="I44" s="1">
        <v>137</v>
      </c>
      <c r="J44" s="1">
        <v>0.5</v>
      </c>
      <c r="K44" s="1">
        <v>2.2999999999999998</v>
      </c>
      <c r="L44" s="1">
        <v>0.8</v>
      </c>
      <c r="M44" s="1">
        <f>Targets_DW[[#This Row],[CANT (deg)]]-Targets_DW[[#This Row],[HEEL (deg)]]</f>
        <v>1.4999999999999998</v>
      </c>
      <c r="N44" s="1">
        <v>1360</v>
      </c>
      <c r="O44" s="1">
        <v>0.05</v>
      </c>
      <c r="P44" s="1">
        <v>2.78</v>
      </c>
      <c r="Q44" s="1">
        <v>-3</v>
      </c>
      <c r="R44" s="1">
        <v>-24</v>
      </c>
      <c r="S44" s="1">
        <f>Targets_DW[[#This Row],[CLEW (deg)]]-0.5*Targets_DW[[#This Row],[CA1 (deg)]]</f>
        <v>12.1</v>
      </c>
      <c r="T44" s="1">
        <v>0.1</v>
      </c>
      <c r="U44" s="1">
        <v>15.8</v>
      </c>
      <c r="V44" s="1">
        <v>390</v>
      </c>
      <c r="W44" s="1">
        <v>7.7</v>
      </c>
      <c r="X44" s="1">
        <v>650</v>
      </c>
      <c r="Y44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42.461628077803695</v>
      </c>
      <c r="Z44" s="1">
        <f>DEGREES(ASIN(Targets_DW[[#This Row],[TWS (km/h)]]*SIN(RADIANS(Targets_DW[[#This Row],[TWA (deg)]]+Targets_DW[[#This Row],[LEEWAY (deg)]]))/Targets_DW[[#This Row],[AWS]]))</f>
        <v>18.554835122194643</v>
      </c>
      <c r="AA44" s="1">
        <f>Targets_DW[[#This Row],[AWA+Leeway]]-Targets_DW[[#This Row],[ROT (deg)]]</f>
        <v>6.4548351221946429</v>
      </c>
      <c r="AB44" s="1">
        <f>Targets_DW[[#This Row],[TWS (km/h)]]*(Targets_DW[[#This Row],[Wing]]/10)^0.1</f>
        <v>21.82986851235794</v>
      </c>
      <c r="AC44" s="1">
        <f>SQRT(Targets_DW[[#This Row],[TWSTop]]^2+Targets_DW[[#This Row],[BSP (km/h)]]^2+2*Targets_DW[[#This Row],[BSP (km/h)]]*Targets_DW[[#This Row],[TWSTop]]*COS(RADIANS(Targets_DW[[#This Row],[TWA (deg)]]+Targets_DW[[#This Row],[LEEWAY (deg)]])))</f>
        <v>41.60684744244783</v>
      </c>
      <c r="AD44" s="1">
        <f>DEGREES(ASIN(Targets_DW[[#This Row],[TWSTop]]*SIN(RADIANS(Targets_DW[[#This Row],[TWA (deg)]]+Targets_DW[[#This Row],[LEEWAY (deg)]]))/Targets_DW[[#This Row],[AWSTop]]))</f>
        <v>20.760473802656534</v>
      </c>
      <c r="AE44" s="1">
        <f>Targets_DW[[#This Row],[AWA+Leeway Top]]-Targets_DW[[#This Row],[ROT (deg)]]</f>
        <v>8.6604738026565347</v>
      </c>
      <c r="AF44" s="1">
        <f>Targets_DW[[#This Row],[CLEW (deg)]]+Targets_DW[[#This Row],[TWIST (deg)]]</f>
        <v>15.9</v>
      </c>
      <c r="AG44" s="7">
        <f>Targets_DW[[#This Row],[AWA+Leeway Top]]-Targets_DW[[#This Row],[CA6]]</f>
        <v>4.8604738026565339</v>
      </c>
      <c r="AH44" s="1">
        <f>Targets_DW[[#This Row],[AWA+Leeway]]-Targets_DW[[#This Row],[JibLead (deg)]]</f>
        <v>10.854835122194643</v>
      </c>
    </row>
    <row r="45" spans="1:34" x14ac:dyDescent="0.25">
      <c r="A45" s="6" t="s">
        <v>32</v>
      </c>
      <c r="B45" t="s">
        <v>37</v>
      </c>
      <c r="C45" t="s">
        <v>36</v>
      </c>
      <c r="D45">
        <v>24</v>
      </c>
      <c r="E45" t="str">
        <f t="shared" si="0"/>
        <v>Foiling_LAB2_LARW2-24m</v>
      </c>
      <c r="F45">
        <v>22</v>
      </c>
      <c r="G45" s="1">
        <f>ABS(Targets_DW[[#This Row],[BSP (km/h)]]*COS(RADIANS(Targets_DW[[#This Row],[TWA (deg)]]+Targets_DW[[#This Row],[LEEWAY (deg)]])))</f>
        <v>45.213803538098276</v>
      </c>
      <c r="H45" s="1">
        <v>60</v>
      </c>
      <c r="I45" s="1">
        <v>138.5</v>
      </c>
      <c r="J45" s="1">
        <v>0.4</v>
      </c>
      <c r="K45" s="1">
        <v>0.20000000000000018</v>
      </c>
      <c r="L45" s="1">
        <v>0.6</v>
      </c>
      <c r="M45" s="1">
        <f>Targets_DW[[#This Row],[CANT (deg)]]-Targets_DW[[#This Row],[HEEL (deg)]]</f>
        <v>-0.3999999999999998</v>
      </c>
      <c r="N45" s="1">
        <v>1350</v>
      </c>
      <c r="O45" s="1">
        <v>0</v>
      </c>
      <c r="P45" s="1">
        <v>2.7</v>
      </c>
      <c r="Q45" s="1">
        <v>-3</v>
      </c>
      <c r="R45" s="1">
        <v>-23</v>
      </c>
      <c r="S45" s="1">
        <f>Targets_DW[[#This Row],[CLEW (deg)]]-0.5*Targets_DW[[#This Row],[CA1 (deg)]]</f>
        <v>12.1</v>
      </c>
      <c r="T45" s="1">
        <v>0.6</v>
      </c>
      <c r="U45" s="1">
        <v>15.5</v>
      </c>
      <c r="V45" s="1">
        <v>500</v>
      </c>
      <c r="W45" s="1">
        <v>7.8</v>
      </c>
      <c r="X45" s="1">
        <v>820</v>
      </c>
      <c r="Y45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45.766719833561112</v>
      </c>
      <c r="Z45" s="1">
        <f>DEGREES(ASIN(Targets_DW[[#This Row],[TWS (km/h)]]*SIN(RADIANS(Targets_DW[[#This Row],[TWA (deg)]]+Targets_DW[[#This Row],[LEEWAY (deg)]]))/Targets_DW[[#This Row],[AWS]]))</f>
        <v>18.42115640645963</v>
      </c>
      <c r="AA45" s="1">
        <f>Targets_DW[[#This Row],[AWA+Leeway]]-Targets_DW[[#This Row],[ROT (deg)]]</f>
        <v>6.3211564064596306</v>
      </c>
      <c r="AB45" s="1">
        <f>Targets_DW[[#This Row],[TWS (km/h)]]*(Targets_DW[[#This Row],[Wing]]/10)^0.1</f>
        <v>24.012855363593733</v>
      </c>
      <c r="AC45" s="1">
        <f>SQRT(Targets_DW[[#This Row],[TWSTop]]^2+Targets_DW[[#This Row],[BSP (km/h)]]^2+2*Targets_DW[[#This Row],[BSP (km/h)]]*Targets_DW[[#This Row],[TWSTop]]*COS(RADIANS(Targets_DW[[#This Row],[TWA (deg)]]+Targets_DW[[#This Row],[LEEWAY (deg)]])))</f>
        <v>44.779372183141191</v>
      </c>
      <c r="AD45" s="1">
        <f>DEGREES(ASIN(Targets_DW[[#This Row],[TWSTop]]*SIN(RADIANS(Targets_DW[[#This Row],[TWA (deg)]]+Targets_DW[[#This Row],[LEEWAY (deg)]]))/Targets_DW[[#This Row],[AWSTop]]))</f>
        <v>20.641298116888649</v>
      </c>
      <c r="AE45" s="1">
        <f>Targets_DW[[#This Row],[AWA+Leeway Top]]-Targets_DW[[#This Row],[ROT (deg)]]</f>
        <v>8.5412981168886493</v>
      </c>
      <c r="AF45" s="1">
        <f>Targets_DW[[#This Row],[CLEW (deg)]]+Targets_DW[[#This Row],[TWIST (deg)]]</f>
        <v>16.100000000000001</v>
      </c>
      <c r="AG45" s="7">
        <f>Targets_DW[[#This Row],[AWA+Leeway Top]]-Targets_DW[[#This Row],[CA6]]</f>
        <v>4.5412981168886475</v>
      </c>
      <c r="AH45" s="1">
        <f>Targets_DW[[#This Row],[AWA+Leeway]]-Targets_DW[[#This Row],[JibLead (deg)]]</f>
        <v>10.62115640645963</v>
      </c>
    </row>
    <row r="46" spans="1:34" x14ac:dyDescent="0.25">
      <c r="A46" s="6" t="s">
        <v>32</v>
      </c>
      <c r="B46" t="s">
        <v>37</v>
      </c>
      <c r="C46" t="s">
        <v>36</v>
      </c>
      <c r="D46">
        <v>24</v>
      </c>
      <c r="E46" t="str">
        <f t="shared" si="0"/>
        <v>Foiling_LAB2_LARW2-24m</v>
      </c>
      <c r="F46">
        <v>24</v>
      </c>
      <c r="G46" s="1">
        <f>ABS(Targets_DW[[#This Row],[BSP (km/h)]]*COS(RADIANS(Targets_DW[[#This Row],[TWA (deg)]]+Targets_DW[[#This Row],[LEEWAY (deg)]])))</f>
        <v>50.337761273322272</v>
      </c>
      <c r="H46" s="1">
        <v>64.5</v>
      </c>
      <c r="I46" s="1">
        <v>141</v>
      </c>
      <c r="J46" s="1">
        <v>0.3</v>
      </c>
      <c r="K46" s="1">
        <v>-1.5</v>
      </c>
      <c r="L46" s="1">
        <v>0.4</v>
      </c>
      <c r="M46" s="1">
        <f>Targets_DW[[#This Row],[CANT (deg)]]-Targets_DW[[#This Row],[HEEL (deg)]]</f>
        <v>-1.9</v>
      </c>
      <c r="N46" s="1">
        <v>1325</v>
      </c>
      <c r="O46" s="1">
        <v>0</v>
      </c>
      <c r="P46" s="1">
        <v>2.5499999999999998</v>
      </c>
      <c r="Q46" s="1">
        <v>-3</v>
      </c>
      <c r="R46" s="1">
        <v>-22.6</v>
      </c>
      <c r="S46" s="1">
        <f>Targets_DW[[#This Row],[CLEW (deg)]]-0.5*Targets_DW[[#This Row],[CA1 (deg)]]</f>
        <v>12.4</v>
      </c>
      <c r="T46" s="1">
        <v>1.1000000000000001</v>
      </c>
      <c r="U46" s="1">
        <v>15</v>
      </c>
      <c r="V46" s="1">
        <v>580</v>
      </c>
      <c r="W46" s="1">
        <v>7.8</v>
      </c>
      <c r="X46" s="1"/>
      <c r="Y46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48.166767162438155</v>
      </c>
      <c r="Z46" s="1">
        <f>DEGREES(ASIN(Targets_DW[[#This Row],[TWS (km/h)]]*SIN(RADIANS(Targets_DW[[#This Row],[TWA (deg)]]+Targets_DW[[#This Row],[LEEWAY (deg)]]))/Targets_DW[[#This Row],[AWS]]))</f>
        <v>18.151998865936502</v>
      </c>
      <c r="AA46" s="1">
        <f>Targets_DW[[#This Row],[AWA+Leeway]]-Targets_DW[[#This Row],[ROT (deg)]]</f>
        <v>5.7519988659365016</v>
      </c>
      <c r="AB46" s="1">
        <f>Targets_DW[[#This Row],[TWS (km/h)]]*(Targets_DW[[#This Row],[Wing]]/10)^0.1</f>
        <v>26.195842214829526</v>
      </c>
      <c r="AC46" s="1">
        <f>SQRT(Targets_DW[[#This Row],[TWSTop]]^2+Targets_DW[[#This Row],[BSP (km/h)]]^2+2*Targets_DW[[#This Row],[BSP (km/h)]]*Targets_DW[[#This Row],[TWSTop]]*COS(RADIANS(Targets_DW[[#This Row],[TWA (deg)]]+Targets_DW[[#This Row],[LEEWAY (deg)]])))</f>
        <v>47.002042996202114</v>
      </c>
      <c r="AD46" s="1">
        <f>DEGREES(ASIN(Targets_DW[[#This Row],[TWSTop]]*SIN(RADIANS(Targets_DW[[#This Row],[TWA (deg)]]+Targets_DW[[#This Row],[LEEWAY (deg)]]))/Targets_DW[[#This Row],[AWSTop]]))</f>
        <v>20.393704842753067</v>
      </c>
      <c r="AE46" s="1">
        <f>Targets_DW[[#This Row],[AWA+Leeway Top]]-Targets_DW[[#This Row],[ROT (deg)]]</f>
        <v>7.9937048427530666</v>
      </c>
      <c r="AF46" s="1">
        <f>Targets_DW[[#This Row],[CLEW (deg)]]+Targets_DW[[#This Row],[TWIST (deg)]]</f>
        <v>16.100000000000001</v>
      </c>
      <c r="AG46" s="7">
        <f>Targets_DW[[#This Row],[AWA+Leeway Top]]-Targets_DW[[#This Row],[CA6]]</f>
        <v>4.2937048427530655</v>
      </c>
      <c r="AH46" s="1">
        <f>Targets_DW[[#This Row],[AWA+Leeway]]-Targets_DW[[#This Row],[JibLead (deg)]]</f>
        <v>10.351998865936501</v>
      </c>
    </row>
    <row r="47" spans="1:34" x14ac:dyDescent="0.25">
      <c r="A47" s="6" t="s">
        <v>32</v>
      </c>
      <c r="B47" t="s">
        <v>37</v>
      </c>
      <c r="C47" t="s">
        <v>36</v>
      </c>
      <c r="D47">
        <v>24</v>
      </c>
      <c r="E47" t="str">
        <f t="shared" si="0"/>
        <v>Foiling_LAB2_LARW2-24m</v>
      </c>
      <c r="F47">
        <v>26</v>
      </c>
      <c r="G47" s="1">
        <f>ABS(Targets_DW[[#This Row],[BSP (km/h)]]*COS(RADIANS(Targets_DW[[#This Row],[TWA (deg)]]+Targets_DW[[#This Row],[LEEWAY (deg)]])))</f>
        <v>55.250464595462603</v>
      </c>
      <c r="H47" s="1">
        <v>69</v>
      </c>
      <c r="I47" s="1">
        <v>143</v>
      </c>
      <c r="J47" s="1">
        <v>0.2</v>
      </c>
      <c r="K47" s="1">
        <v>-3.1</v>
      </c>
      <c r="L47" s="1">
        <v>0.2</v>
      </c>
      <c r="M47" s="1">
        <f>Targets_DW[[#This Row],[CANT (deg)]]-Targets_DW[[#This Row],[HEEL (deg)]]</f>
        <v>-3.3000000000000003</v>
      </c>
      <c r="N47" s="1">
        <v>1300</v>
      </c>
      <c r="O47" s="1">
        <v>0</v>
      </c>
      <c r="P47" s="1">
        <v>2.4</v>
      </c>
      <c r="Q47" s="1">
        <v>-3</v>
      </c>
      <c r="R47" s="1">
        <v>-22.3</v>
      </c>
      <c r="S47" s="1">
        <f>Targets_DW[[#This Row],[CLEW (deg)]]-0.5*Targets_DW[[#This Row],[CA1 (deg)]]</f>
        <v>12.75</v>
      </c>
      <c r="T47" s="1">
        <v>1.6</v>
      </c>
      <c r="U47" s="1">
        <v>14.5</v>
      </c>
      <c r="V47" s="1">
        <v>650</v>
      </c>
      <c r="W47" s="1">
        <v>7.9</v>
      </c>
      <c r="X47" s="1"/>
      <c r="Y47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50.635717048699377</v>
      </c>
      <c r="Z47" s="1">
        <f>DEGREES(ASIN(Targets_DW[[#This Row],[TWS (km/h)]]*SIN(RADIANS(Targets_DW[[#This Row],[TWA (deg)]]+Targets_DW[[#This Row],[LEEWAY (deg)]]))/Targets_DW[[#This Row],[AWS]]))</f>
        <v>17.913545209398603</v>
      </c>
      <c r="AA47" s="1">
        <f>Targets_DW[[#This Row],[AWA+Leeway]]-Targets_DW[[#This Row],[ROT (deg)]]</f>
        <v>5.1635452093986025</v>
      </c>
      <c r="AB47" s="1">
        <f>Targets_DW[[#This Row],[TWS (km/h)]]*(Targets_DW[[#This Row],[Wing]]/10)^0.1</f>
        <v>28.378829066065322</v>
      </c>
      <c r="AC47" s="1">
        <f>SQRT(Targets_DW[[#This Row],[TWSTop]]^2+Targets_DW[[#This Row],[BSP (km/h)]]^2+2*Targets_DW[[#This Row],[BSP (km/h)]]*Targets_DW[[#This Row],[TWSTop]]*COS(RADIANS(Targets_DW[[#This Row],[TWA (deg)]]+Targets_DW[[#This Row],[LEEWAY (deg)]])))</f>
        <v>49.299806875993944</v>
      </c>
      <c r="AD47" s="1">
        <f>DEGREES(ASIN(Targets_DW[[#This Row],[TWSTop]]*SIN(RADIANS(Targets_DW[[#This Row],[TWA (deg)]]+Targets_DW[[#This Row],[LEEWAY (deg)]]))/Targets_DW[[#This Row],[AWSTop]]))</f>
        <v>20.170844072409992</v>
      </c>
      <c r="AE47" s="1">
        <f>Targets_DW[[#This Row],[AWA+Leeway Top]]-Targets_DW[[#This Row],[ROT (deg)]]</f>
        <v>7.4208440724099916</v>
      </c>
      <c r="AF47" s="1">
        <f>Targets_DW[[#This Row],[CLEW (deg)]]+Targets_DW[[#This Row],[TWIST (deg)]]</f>
        <v>16.100000000000001</v>
      </c>
      <c r="AG47" s="7">
        <f>Targets_DW[[#This Row],[AWA+Leeway Top]]-Targets_DW[[#This Row],[CA6]]</f>
        <v>4.0708440724099901</v>
      </c>
      <c r="AH47" s="1">
        <f>Targets_DW[[#This Row],[AWA+Leeway]]-Targets_DW[[#This Row],[JibLead (deg)]]</f>
        <v>10.013545209398602</v>
      </c>
    </row>
    <row r="48" spans="1:34" ht="15.75" thickBot="1" x14ac:dyDescent="0.3">
      <c r="A48" s="8" t="s">
        <v>32</v>
      </c>
      <c r="B48" s="9" t="s">
        <v>37</v>
      </c>
      <c r="C48" s="9" t="s">
        <v>36</v>
      </c>
      <c r="D48" s="9">
        <v>24</v>
      </c>
      <c r="E48" s="9" t="str">
        <f t="shared" si="0"/>
        <v>Foiling_LAB2_LARW2-24m</v>
      </c>
      <c r="F48" s="9">
        <v>28</v>
      </c>
      <c r="G48" s="10">
        <f>ABS(Targets_DW[[#This Row],[BSP (km/h)]]*COS(RADIANS(Targets_DW[[#This Row],[TWA (deg)]]+Targets_DW[[#This Row],[LEEWAY (deg)]])))</f>
        <v>59.578044075851679</v>
      </c>
      <c r="H48" s="10">
        <v>73</v>
      </c>
      <c r="I48" s="10">
        <v>144.5</v>
      </c>
      <c r="J48" s="10">
        <v>0.2</v>
      </c>
      <c r="K48" s="10">
        <v>-4.3</v>
      </c>
      <c r="L48" s="10">
        <v>0</v>
      </c>
      <c r="M48" s="10">
        <f>Targets_DW[[#This Row],[CANT (deg)]]-Targets_DW[[#This Row],[HEEL (deg)]]</f>
        <v>-4.3</v>
      </c>
      <c r="N48" s="10">
        <v>1275</v>
      </c>
      <c r="O48" s="10">
        <v>0</v>
      </c>
      <c r="P48" s="10">
        <v>2.2999999999999998</v>
      </c>
      <c r="Q48" s="10">
        <v>-3</v>
      </c>
      <c r="R48" s="10">
        <v>-22</v>
      </c>
      <c r="S48" s="10">
        <f>Targets_DW[[#This Row],[CLEW (deg)]]-0.5*Targets_DW[[#This Row],[CA1 (deg)]]</f>
        <v>13</v>
      </c>
      <c r="T48" s="10">
        <v>2</v>
      </c>
      <c r="U48" s="10">
        <v>14</v>
      </c>
      <c r="V48" s="10">
        <v>720</v>
      </c>
      <c r="W48" s="10">
        <v>8</v>
      </c>
      <c r="X48" s="10"/>
      <c r="Y48" s="10">
        <f>SQRT(Targets_DW[[#This Row],[TWS (km/h)]]^2+Targets_DW[[#This Row],[BSP (km/h)]]^2+2*Targets_DW[[#This Row],[TWS (km/h)]]*Targets_DW[[#This Row],[BSP (km/h)]]*COS(RADIANS(Targets_DW[[#This Row],[TWA (deg)]]+Targets_DW[[#This Row],[LEEWAY (deg)]])))</f>
        <v>52.693733325247564</v>
      </c>
      <c r="Z48" s="10">
        <f>DEGREES(ASIN(Targets_DW[[#This Row],[TWS (km/h)]]*SIN(RADIANS(Targets_DW[[#This Row],[TWA (deg)]]+Targets_DW[[#This Row],[LEEWAY (deg)]]))/Targets_DW[[#This Row],[AWS]]))</f>
        <v>17.881999468789498</v>
      </c>
      <c r="AA48" s="10">
        <f>Targets_DW[[#This Row],[AWA+Leeway]]-Targets_DW[[#This Row],[ROT (deg)]]</f>
        <v>4.8819994687894983</v>
      </c>
      <c r="AB48" s="10">
        <f>Targets_DW[[#This Row],[TWS (km/h)]]*(Targets_DW[[#This Row],[Wing]]/10)^0.1</f>
        <v>30.561815917301114</v>
      </c>
      <c r="AC48" s="10">
        <f>SQRT(Targets_DW[[#This Row],[TWSTop]]^2+Targets_DW[[#This Row],[BSP (km/h)]]^2+2*Targets_DW[[#This Row],[BSP (km/h)]]*Targets_DW[[#This Row],[TWSTop]]*COS(RADIANS(Targets_DW[[#This Row],[TWA (deg)]]+Targets_DW[[#This Row],[LEEWAY (deg)]])))</f>
        <v>51.199591410917897</v>
      </c>
      <c r="AD48" s="10">
        <f>DEGREES(ASIN(Targets_DW[[#This Row],[TWSTop]]*SIN(RADIANS(Targets_DW[[#This Row],[TWA (deg)]]+Targets_DW[[#This Row],[LEEWAY (deg)]]))/Targets_DW[[#This Row],[AWSTop]]))</f>
        <v>20.177645897731303</v>
      </c>
      <c r="AE48" s="10">
        <f>Targets_DW[[#This Row],[AWA+Leeway Top]]-Targets_DW[[#This Row],[ROT (deg)]]</f>
        <v>7.1776458977313027</v>
      </c>
      <c r="AF48" s="10">
        <f>Targets_DW[[#This Row],[CLEW (deg)]]+Targets_DW[[#This Row],[TWIST (deg)]]</f>
        <v>16</v>
      </c>
      <c r="AG48" s="11">
        <f>Targets_DW[[#This Row],[AWA+Leeway Top]]-Targets_DW[[#This Row],[CA6]]</f>
        <v>4.1776458977313027</v>
      </c>
      <c r="AH48" s="1">
        <f>Targets_DW[[#This Row],[AWA+Leeway]]-Targets_DW[[#This Row],[JibLead (deg)]]</f>
        <v>9.8819994687894983</v>
      </c>
    </row>
    <row r="49" spans="1:34" x14ac:dyDescent="0.25">
      <c r="A49" s="2" t="s">
        <v>32</v>
      </c>
      <c r="B49" s="3" t="s">
        <v>37</v>
      </c>
      <c r="C49" s="3" t="s">
        <v>36</v>
      </c>
      <c r="D49" s="3">
        <v>27.5</v>
      </c>
      <c r="E49" s="3" t="str">
        <f t="shared" si="0"/>
        <v>Foiling_LAB2_LARW2-27.5m</v>
      </c>
      <c r="F49" s="3">
        <v>13</v>
      </c>
      <c r="G49" s="4">
        <f>ABS(Targets_DW[[#This Row],[BSP (km/h)]]*COS(RADIANS(Targets_DW[[#This Row],[TWA (deg)]]+Targets_DW[[#This Row],[LEEWAY (deg)]])))</f>
        <v>31.14314226613967</v>
      </c>
      <c r="H49" s="4">
        <v>47</v>
      </c>
      <c r="I49" s="4">
        <v>130</v>
      </c>
      <c r="J49" s="4">
        <v>1.5</v>
      </c>
      <c r="K49" s="4">
        <v>4.5</v>
      </c>
      <c r="L49" s="4">
        <v>1</v>
      </c>
      <c r="M49" s="4">
        <f>Targets_DW[[#This Row],[CANT (deg)]]-Targets_DW[[#This Row],[HEEL (deg)]]</f>
        <v>3.5</v>
      </c>
      <c r="N49" s="4">
        <v>1350</v>
      </c>
      <c r="O49" s="4">
        <v>0</v>
      </c>
      <c r="P49" s="4">
        <v>3</v>
      </c>
      <c r="Q49" s="4">
        <v>-3</v>
      </c>
      <c r="R49" s="4">
        <v>-24</v>
      </c>
      <c r="S49" s="4">
        <f>Targets_DW[[#This Row],[CLEW (deg)]]-0.5*Targets_DW[[#This Row],[CA1 (deg)]]</f>
        <v>12</v>
      </c>
      <c r="T49" s="4">
        <v>0</v>
      </c>
      <c r="U49" s="4">
        <v>15</v>
      </c>
      <c r="V49" s="4">
        <v>570</v>
      </c>
      <c r="W49" s="4">
        <v>6</v>
      </c>
      <c r="X49" s="4">
        <v>1100</v>
      </c>
      <c r="Y49" s="4">
        <f>SQRT(Targets_DW[[#This Row],[TWS (km/h)]]^2+Targets_DW[[#This Row],[BSP (km/h)]]^2+2*Targets_DW[[#This Row],[TWS (km/h)]]*Targets_DW[[#This Row],[BSP (km/h)]]*COS(RADIANS(Targets_DW[[#This Row],[TWA (deg)]]+Targets_DW[[#This Row],[LEEWAY (deg)]])))</f>
        <v>39.601493672339792</v>
      </c>
      <c r="Z49" s="4">
        <f>DEGREES(ASIN(Targets_DW[[#This Row],[TWS (km/h)]]*SIN(RADIANS(Targets_DW[[#This Row],[TWA (deg)]]+Targets_DW[[#This Row],[LEEWAY (deg)]]))/Targets_DW[[#This Row],[AWS]]))</f>
        <v>14.232664436593753</v>
      </c>
      <c r="AA49" s="4">
        <f>Targets_DW[[#This Row],[AWA+Leeway]]-Targets_DW[[#This Row],[ROT (deg)]]</f>
        <v>2.2326644365937529</v>
      </c>
      <c r="AB49" s="4">
        <f>Targets_DW[[#This Row],[TWS (km/h)]]*(Targets_DW[[#This Row],[Wing]]/10)^0.1</f>
        <v>14.383898893782673</v>
      </c>
      <c r="AC49" s="4">
        <f>SQRT(Targets_DW[[#This Row],[TWSTop]]^2+Targets_DW[[#This Row],[BSP (km/h)]]^2+2*Targets_DW[[#This Row],[BSP (km/h)]]*Targets_DW[[#This Row],[TWSTop]]*COS(RADIANS(Targets_DW[[#This Row],[TWA (deg)]]+Targets_DW[[#This Row],[LEEWAY (deg)]])))</f>
        <v>38.986881488583784</v>
      </c>
      <c r="AD49" s="4">
        <f>DEGREES(ASIN(Targets_DW[[#This Row],[TWSTop]]*SIN(RADIANS(Targets_DW[[#This Row],[TWA (deg)]]+Targets_DW[[#This Row],[LEEWAY (deg)]]))/Targets_DW[[#This Row],[AWSTop]]))</f>
        <v>16.040766808123518</v>
      </c>
      <c r="AE49" s="4">
        <f>Targets_DW[[#This Row],[AWA+Leeway Top]]-Targets_DW[[#This Row],[ROT (deg)]]</f>
        <v>4.040766808123518</v>
      </c>
      <c r="AF49" s="4">
        <f>Targets_DW[[#This Row],[CLEW (deg)]]+Targets_DW[[#This Row],[TWIST (deg)]]</f>
        <v>15</v>
      </c>
      <c r="AG49" s="5">
        <f>Targets_DW[[#This Row],[AWA+Leeway Top]]-Targets_DW[[#This Row],[CA6]]</f>
        <v>1.040766808123518</v>
      </c>
      <c r="AH49" s="1">
        <f>Targets_DW[[#This Row],[AWA+Leeway]]-Targets_DW[[#This Row],[JibLead (deg)]]</f>
        <v>8.2326644365937529</v>
      </c>
    </row>
    <row r="50" spans="1:34" x14ac:dyDescent="0.25">
      <c r="A50" s="6" t="s">
        <v>32</v>
      </c>
      <c r="B50" t="s">
        <v>37</v>
      </c>
      <c r="C50" t="s">
        <v>36</v>
      </c>
      <c r="D50">
        <v>27.5</v>
      </c>
      <c r="E50" t="str">
        <f t="shared" si="0"/>
        <v>Foiling_LAB2_LARW2-27.5m</v>
      </c>
      <c r="F50">
        <v>14</v>
      </c>
      <c r="G50" s="1">
        <f>ABS(Targets_DW[[#This Row],[BSP (km/h)]]*COS(RADIANS(Targets_DW[[#This Row],[TWA (deg)]]+Targets_DW[[#This Row],[LEEWAY (deg)]])))</f>
        <v>35.966990016932563</v>
      </c>
      <c r="H50" s="1">
        <v>50</v>
      </c>
      <c r="I50" s="1">
        <v>135</v>
      </c>
      <c r="J50" s="1">
        <v>1</v>
      </c>
      <c r="K50" s="1">
        <v>4</v>
      </c>
      <c r="L50" s="1">
        <v>0.8</v>
      </c>
      <c r="M50" s="1">
        <f>Targets_DW[[#This Row],[CANT (deg)]]-Targets_DW[[#This Row],[HEEL (deg)]]</f>
        <v>3.2</v>
      </c>
      <c r="N50" s="1">
        <v>1310</v>
      </c>
      <c r="O50" s="1">
        <v>0</v>
      </c>
      <c r="P50" s="1">
        <v>2.8</v>
      </c>
      <c r="Q50" s="1">
        <v>-3</v>
      </c>
      <c r="R50" s="1">
        <v>-23.8</v>
      </c>
      <c r="S50" s="1">
        <f>Targets_DW[[#This Row],[CLEW (deg)]]-0.5*Targets_DW[[#This Row],[CA1 (deg)]]</f>
        <v>12.3</v>
      </c>
      <c r="T50" s="1">
        <v>0.4</v>
      </c>
      <c r="U50" s="1">
        <v>15</v>
      </c>
      <c r="V50" s="1">
        <v>600</v>
      </c>
      <c r="W50" s="1">
        <v>6.5</v>
      </c>
      <c r="X50" s="1">
        <v>1200</v>
      </c>
      <c r="Y50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41.096523934827971</v>
      </c>
      <c r="Z50" s="1">
        <f>DEGREES(ASIN(Targets_DW[[#This Row],[TWS (km/h)]]*SIN(RADIANS(Targets_DW[[#This Row],[TWA (deg)]]+Targets_DW[[#This Row],[LEEWAY (deg)]]))/Targets_DW[[#This Row],[AWS]]))</f>
        <v>13.688509707351098</v>
      </c>
      <c r="AA50" s="1">
        <f>Targets_DW[[#This Row],[AWA+Leeway]]-Targets_DW[[#This Row],[ROT (deg)]]</f>
        <v>1.3885097073510977</v>
      </c>
      <c r="AB50" s="1">
        <f>Targets_DW[[#This Row],[TWS (km/h)]]*(Targets_DW[[#This Row],[Wing]]/10)^0.1</f>
        <v>15.49035265484288</v>
      </c>
      <c r="AC50" s="1">
        <f>SQRT(Targets_DW[[#This Row],[TWSTop]]^2+Targets_DW[[#This Row],[BSP (km/h)]]^2+2*Targets_DW[[#This Row],[BSP (km/h)]]*Targets_DW[[#This Row],[TWSTop]]*COS(RADIANS(Targets_DW[[#This Row],[TWA (deg)]]+Targets_DW[[#This Row],[LEEWAY (deg)]])))</f>
        <v>40.319577214802251</v>
      </c>
      <c r="AD50" s="1">
        <f>DEGREES(ASIN(Targets_DW[[#This Row],[TWSTop]]*SIN(RADIANS(Targets_DW[[#This Row],[TWA (deg)]]+Targets_DW[[#This Row],[LEEWAY (deg)]]))/Targets_DW[[#This Row],[AWSTop]]))</f>
        <v>15.478713867051637</v>
      </c>
      <c r="AE50" s="1">
        <f>Targets_DW[[#This Row],[AWA+Leeway Top]]-Targets_DW[[#This Row],[ROT (deg)]]</f>
        <v>3.1787138670516359</v>
      </c>
      <c r="AF50" s="1">
        <f>Targets_DW[[#This Row],[CLEW (deg)]]+Targets_DW[[#This Row],[TWIST (deg)]]</f>
        <v>15.4</v>
      </c>
      <c r="AG50" s="7">
        <f>Targets_DW[[#This Row],[AWA+Leeway Top]]-Targets_DW[[#This Row],[CA6]]</f>
        <v>7.8713867051636299E-2</v>
      </c>
      <c r="AH50" s="1">
        <f>Targets_DW[[#This Row],[AWA+Leeway]]-Targets_DW[[#This Row],[JibLead (deg)]]</f>
        <v>7.1885097073510984</v>
      </c>
    </row>
    <row r="51" spans="1:34" x14ac:dyDescent="0.25">
      <c r="A51" s="6" t="s">
        <v>32</v>
      </c>
      <c r="B51" t="s">
        <v>37</v>
      </c>
      <c r="C51" t="s">
        <v>36</v>
      </c>
      <c r="D51">
        <v>27.5</v>
      </c>
      <c r="E51" t="str">
        <f t="shared" si="0"/>
        <v>Foiling_LAB2_LARW2-27.5m</v>
      </c>
      <c r="F51">
        <v>16</v>
      </c>
      <c r="G51" s="1">
        <f>ABS(Targets_DW[[#This Row],[BSP (km/h)]]*COS(RADIANS(Targets_DW[[#This Row],[TWA (deg)]]+Targets_DW[[#This Row],[LEEWAY (deg)]])))</f>
        <v>38.874313674270518</v>
      </c>
      <c r="H51" s="1">
        <v>49</v>
      </c>
      <c r="I51" s="1">
        <v>142</v>
      </c>
      <c r="J51" s="1">
        <v>0.5</v>
      </c>
      <c r="K51" s="1">
        <v>3.5</v>
      </c>
      <c r="L51" s="1">
        <v>0.4</v>
      </c>
      <c r="M51" s="1">
        <f>Targets_DW[[#This Row],[CANT (deg)]]-Targets_DW[[#This Row],[HEEL (deg)]]</f>
        <v>3.1</v>
      </c>
      <c r="N51" s="1">
        <v>1330</v>
      </c>
      <c r="O51" s="1">
        <v>0</v>
      </c>
      <c r="P51" s="1">
        <v>2.7</v>
      </c>
      <c r="Q51" s="1">
        <v>-3</v>
      </c>
      <c r="R51" s="1">
        <v>-24</v>
      </c>
      <c r="S51" s="1">
        <f>Targets_DW[[#This Row],[CLEW (deg)]]-0.5*Targets_DW[[#This Row],[CA1 (deg)]]</f>
        <v>12.8</v>
      </c>
      <c r="T51" s="1">
        <v>0.8</v>
      </c>
      <c r="U51" s="1">
        <v>16</v>
      </c>
      <c r="V51" s="1">
        <v>530</v>
      </c>
      <c r="W51" s="1">
        <v>7</v>
      </c>
      <c r="X51" s="1">
        <v>1000</v>
      </c>
      <c r="Y51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37.590184389323547</v>
      </c>
      <c r="Z51" s="1">
        <f>DEGREES(ASIN(Targets_DW[[#This Row],[TWS (km/h)]]*SIN(RADIANS(Targets_DW[[#This Row],[TWA (deg)]]+Targets_DW[[#This Row],[LEEWAY (deg)]]))/Targets_DW[[#This Row],[AWS]]))</f>
        <v>15.01755939335529</v>
      </c>
      <c r="AA51" s="1">
        <f>Targets_DW[[#This Row],[AWA+Leeway]]-Targets_DW[[#This Row],[ROT (deg)]]</f>
        <v>2.2175593933552893</v>
      </c>
      <c r="AB51" s="1">
        <f>Targets_DW[[#This Row],[TWS (km/h)]]*(Targets_DW[[#This Row],[Wing]]/10)^0.1</f>
        <v>17.70326017696329</v>
      </c>
      <c r="AC51" s="1">
        <f>SQRT(Targets_DW[[#This Row],[TWSTop]]^2+Targets_DW[[#This Row],[BSP (km/h)]]^2+2*Targets_DW[[#This Row],[BSP (km/h)]]*Targets_DW[[#This Row],[TWSTop]]*COS(RADIANS(Targets_DW[[#This Row],[TWA (deg)]]+Targets_DW[[#This Row],[LEEWAY (deg)]])))</f>
        <v>36.57869930082628</v>
      </c>
      <c r="AD51" s="1">
        <f>DEGREES(ASIN(Targets_DW[[#This Row],[TWSTop]]*SIN(RADIANS(Targets_DW[[#This Row],[TWA (deg)]]+Targets_DW[[#This Row],[LEEWAY (deg)]]))/Targets_DW[[#This Row],[AWSTop]]))</f>
        <v>17.135154842605793</v>
      </c>
      <c r="AE51" s="1">
        <f>Targets_DW[[#This Row],[AWA+Leeway Top]]-Targets_DW[[#This Row],[ROT (deg)]]</f>
        <v>4.3351548426057924</v>
      </c>
      <c r="AF51" s="1">
        <f>Targets_DW[[#This Row],[CLEW (deg)]]+Targets_DW[[#This Row],[TWIST (deg)]]</f>
        <v>16.8</v>
      </c>
      <c r="AG51" s="7">
        <f>Targets_DW[[#This Row],[AWA+Leeway Top]]-Targets_DW[[#This Row],[CA6]]</f>
        <v>0.33515484260579242</v>
      </c>
      <c r="AH51" s="1">
        <f>Targets_DW[[#This Row],[AWA+Leeway]]-Targets_DW[[#This Row],[JibLead (deg)]]</f>
        <v>8.01755939335529</v>
      </c>
    </row>
    <row r="52" spans="1:34" x14ac:dyDescent="0.25">
      <c r="A52" s="6" t="s">
        <v>32</v>
      </c>
      <c r="B52" t="s">
        <v>37</v>
      </c>
      <c r="C52" t="s">
        <v>36</v>
      </c>
      <c r="D52">
        <v>27.5</v>
      </c>
      <c r="E52" t="str">
        <f t="shared" si="0"/>
        <v>Foiling_LAB2_LARW2-27.5m</v>
      </c>
      <c r="F52">
        <v>18</v>
      </c>
      <c r="G52" s="1">
        <f>ABS(Targets_DW[[#This Row],[BSP (km/h)]]*COS(RADIANS(Targets_DW[[#This Row],[TWA (deg)]]+Targets_DW[[#This Row],[LEEWAY (deg)]])))</f>
        <v>40.836788587538535</v>
      </c>
      <c r="H52" s="1">
        <v>49</v>
      </c>
      <c r="I52" s="1">
        <v>146</v>
      </c>
      <c r="J52" s="1">
        <v>0.45</v>
      </c>
      <c r="K52" s="1">
        <v>3.5</v>
      </c>
      <c r="L52" s="1">
        <v>0.2</v>
      </c>
      <c r="M52" s="1">
        <f>Targets_DW[[#This Row],[CANT (deg)]]-Targets_DW[[#This Row],[HEEL (deg)]]</f>
        <v>3.3</v>
      </c>
      <c r="N52" s="1">
        <v>1350</v>
      </c>
      <c r="O52" s="1">
        <v>0</v>
      </c>
      <c r="P52" s="1">
        <v>2.7</v>
      </c>
      <c r="Q52" s="1">
        <v>-3</v>
      </c>
      <c r="R52" s="1">
        <v>-24.5</v>
      </c>
      <c r="S52" s="1">
        <f>Targets_DW[[#This Row],[CLEW (deg)]]-0.5*Targets_DW[[#This Row],[CA1 (deg)]]</f>
        <v>13.25</v>
      </c>
      <c r="T52" s="1">
        <v>1</v>
      </c>
      <c r="U52" s="1">
        <v>18</v>
      </c>
      <c r="V52" s="1">
        <v>490</v>
      </c>
      <c r="W52" s="1">
        <v>7.5</v>
      </c>
      <c r="X52" s="1">
        <v>900</v>
      </c>
      <c r="Y52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35.424223503820272</v>
      </c>
      <c r="Z52" s="1">
        <f>DEGREES(ASIN(Targets_DW[[#This Row],[TWS (km/h)]]*SIN(RADIANS(Targets_DW[[#This Row],[TWA (deg)]]+Targets_DW[[#This Row],[LEEWAY (deg)]]))/Targets_DW[[#This Row],[AWS]]))</f>
        <v>16.309370297683639</v>
      </c>
      <c r="AA52" s="1">
        <f>Targets_DW[[#This Row],[AWA+Leeway]]-Targets_DW[[#This Row],[ROT (deg)]]</f>
        <v>3.059370297683639</v>
      </c>
      <c r="AB52" s="1">
        <f>Targets_DW[[#This Row],[TWS (km/h)]]*(Targets_DW[[#This Row],[Wing]]/10)^0.1</f>
        <v>19.916167699083701</v>
      </c>
      <c r="AC52" s="1">
        <f>SQRT(Targets_DW[[#This Row],[TWSTop]]^2+Targets_DW[[#This Row],[BSP (km/h)]]^2+2*Targets_DW[[#This Row],[BSP (km/h)]]*Targets_DW[[#This Row],[TWSTop]]*COS(RADIANS(Targets_DW[[#This Row],[TWA (deg)]]+Targets_DW[[#This Row],[LEEWAY (deg)]])))</f>
        <v>34.220302105842599</v>
      </c>
      <c r="AD52" s="1">
        <f>DEGREES(ASIN(Targets_DW[[#This Row],[TWSTop]]*SIN(RADIANS(Targets_DW[[#This Row],[TWA (deg)]]+Targets_DW[[#This Row],[LEEWAY (deg)]]))/Targets_DW[[#This Row],[AWSTop]]))</f>
        <v>18.762736177187676</v>
      </c>
      <c r="AE52" s="1">
        <f>Targets_DW[[#This Row],[AWA+Leeway Top]]-Targets_DW[[#This Row],[ROT (deg)]]</f>
        <v>5.5127361771876764</v>
      </c>
      <c r="AF52" s="1">
        <f>Targets_DW[[#This Row],[CLEW (deg)]]+Targets_DW[[#This Row],[TWIST (deg)]]</f>
        <v>19</v>
      </c>
      <c r="AG52" s="7">
        <f>Targets_DW[[#This Row],[AWA+Leeway Top]]-Targets_DW[[#This Row],[CA6]]</f>
        <v>-0.23726382281232361</v>
      </c>
      <c r="AH52" s="1">
        <f>Targets_DW[[#This Row],[AWA+Leeway]]-Targets_DW[[#This Row],[JibLead (deg)]]</f>
        <v>8.809370297683639</v>
      </c>
    </row>
    <row r="53" spans="1:34" ht="15.75" thickBot="1" x14ac:dyDescent="0.3">
      <c r="A53" s="6" t="s">
        <v>32</v>
      </c>
      <c r="B53" t="s">
        <v>37</v>
      </c>
      <c r="C53" t="s">
        <v>36</v>
      </c>
      <c r="D53">
        <v>27.5</v>
      </c>
      <c r="E53" t="str">
        <f t="shared" si="0"/>
        <v>Foiling_LAB2_LARW2-27.5m</v>
      </c>
      <c r="F53">
        <v>20</v>
      </c>
      <c r="G53" s="1">
        <f>ABS(Targets_DW[[#This Row],[BSP (km/h)]]*COS(RADIANS(Targets_DW[[#This Row],[TWA (deg)]]+Targets_DW[[#This Row],[LEEWAY (deg)]])))</f>
        <v>42.605251545755735</v>
      </c>
      <c r="H53" s="1">
        <v>49</v>
      </c>
      <c r="I53" s="1">
        <v>150</v>
      </c>
      <c r="J53" s="1">
        <v>0.4</v>
      </c>
      <c r="K53" s="1">
        <v>3.5</v>
      </c>
      <c r="L53" s="1">
        <v>0</v>
      </c>
      <c r="M53" s="1">
        <f>Targets_DW[[#This Row],[CANT (deg)]]-Targets_DW[[#This Row],[HEEL (deg)]]</f>
        <v>3.5</v>
      </c>
      <c r="N53" s="1">
        <v>1360</v>
      </c>
      <c r="O53" s="1">
        <v>0</v>
      </c>
      <c r="P53" s="1">
        <v>2.7</v>
      </c>
      <c r="Q53" s="1">
        <v>-3</v>
      </c>
      <c r="R53" s="1">
        <v>-25</v>
      </c>
      <c r="S53" s="1">
        <f>Targets_DW[[#This Row],[CLEW (deg)]]-0.5*Targets_DW[[#This Row],[CA1 (deg)]]</f>
        <v>13.5</v>
      </c>
      <c r="T53" s="1">
        <v>1</v>
      </c>
      <c r="U53" s="1">
        <v>19</v>
      </c>
      <c r="V53" s="1">
        <v>450</v>
      </c>
      <c r="W53" s="1">
        <v>8</v>
      </c>
      <c r="X53" s="1">
        <v>800</v>
      </c>
      <c r="Y53" s="1">
        <f>SQRT(Targets_DW[[#This Row],[TWS (km/h)]]^2+Targets_DW[[#This Row],[BSP (km/h)]]^2+2*Targets_DW[[#This Row],[TWS (km/h)]]*Targets_DW[[#This Row],[BSP (km/h)]]*COS(RADIANS(Targets_DW[[#This Row],[TWA (deg)]]+Targets_DW[[#This Row],[LEEWAY (deg)]])))</f>
        <v>33.117819043073638</v>
      </c>
      <c r="Z53" s="1">
        <f>DEGREES(ASIN(Targets_DW[[#This Row],[TWS (km/h)]]*SIN(RADIANS(Targets_DW[[#This Row],[TWA (deg)]]+Targets_DW[[#This Row],[LEEWAY (deg)]]))/Targets_DW[[#This Row],[AWS]]))</f>
        <v>17.355148583414056</v>
      </c>
      <c r="AA53" s="1">
        <f>Targets_DW[[#This Row],[AWA+Leeway]]-Targets_DW[[#This Row],[ROT (deg)]]</f>
        <v>3.8551485834140564</v>
      </c>
      <c r="AB53" s="1">
        <f>Targets_DW[[#This Row],[TWS (km/h)]]*(Targets_DW[[#This Row],[Wing]]/10)^0.1</f>
        <v>22.129075221204111</v>
      </c>
      <c r="AC53" s="1">
        <f>SQRT(Targets_DW[[#This Row],[TWSTop]]^2+Targets_DW[[#This Row],[BSP (km/h)]]^2+2*Targets_DW[[#This Row],[BSP (km/h)]]*Targets_DW[[#This Row],[TWSTop]]*COS(RADIANS(Targets_DW[[#This Row],[TWA (deg)]]+Targets_DW[[#This Row],[LEEWAY (deg)]])))</f>
        <v>31.702781228103746</v>
      </c>
      <c r="AD53" s="1">
        <f>DEGREES(ASIN(Targets_DW[[#This Row],[TWSTop]]*SIN(RADIANS(Targets_DW[[#This Row],[TWA (deg)]]+Targets_DW[[#This Row],[LEEWAY (deg)]]))/Targets_DW[[#This Row],[AWSTop]]))</f>
        <v>20.168350960545776</v>
      </c>
      <c r="AE53" s="1">
        <f>Targets_DW[[#This Row],[AWA+Leeway Top]]-Targets_DW[[#This Row],[ROT (deg)]]</f>
        <v>6.6683509605457765</v>
      </c>
      <c r="AF53" s="1">
        <f>Targets_DW[[#This Row],[CLEW (deg)]]+Targets_DW[[#This Row],[TWIST (deg)]]</f>
        <v>20</v>
      </c>
      <c r="AG53" s="7">
        <f>Targets_DW[[#This Row],[AWA+Leeway Top]]-Targets_DW[[#This Row],[CA6]]</f>
        <v>0.16835096054577647</v>
      </c>
      <c r="AH53" s="1">
        <f>Targets_DW[[#This Row],[AWA+Leeway]]-Targets_DW[[#This Row],[JibLead (deg)]]</f>
        <v>9.3551485834140564</v>
      </c>
    </row>
    <row r="54" spans="1:34" x14ac:dyDescent="0.25">
      <c r="A54" s="12" t="s">
        <v>38</v>
      </c>
      <c r="B54" s="13" t="s">
        <v>33</v>
      </c>
      <c r="C54" s="13" t="s">
        <v>36</v>
      </c>
      <c r="D54" s="13">
        <v>24</v>
      </c>
      <c r="E54" s="13" t="str">
        <f t="shared" si="0"/>
        <v>H2_HSB2_LARW2-24m</v>
      </c>
      <c r="F54" s="13">
        <v>7</v>
      </c>
      <c r="G54" s="14">
        <f>ABS(Targets_DW[[#This Row],[BSP (km/h)]]*COS(RADIANS(Targets_DW[[#This Row],[TWA (deg)]]+Targets_DW[[#This Row],[LEEWAY (deg)]])))</f>
        <v>9.42986682315974</v>
      </c>
      <c r="H54" s="14">
        <v>13</v>
      </c>
      <c r="I54" s="14">
        <v>135</v>
      </c>
      <c r="J54" s="14">
        <v>1.5</v>
      </c>
      <c r="K54" s="14">
        <v>4.5</v>
      </c>
      <c r="L54" s="14">
        <v>-0.2</v>
      </c>
      <c r="M54" s="14">
        <f>Targets_DW[[#This Row],[CANT (deg)]]-Targets_DW[[#This Row],[HEEL (deg)]]</f>
        <v>4.7</v>
      </c>
      <c r="N54" s="14"/>
      <c r="O54" s="14">
        <v>0</v>
      </c>
      <c r="P54" s="14">
        <v>2.6</v>
      </c>
      <c r="Q54" s="14">
        <v>-0.3</v>
      </c>
      <c r="R54" s="14">
        <v>-35</v>
      </c>
      <c r="S54" s="14">
        <f>Targets_DW[[#This Row],[CLEW (deg)]]-0.5*Targets_DW[[#This Row],[CA1 (deg)]]</f>
        <v>27.5</v>
      </c>
      <c r="T54" s="14">
        <v>10</v>
      </c>
      <c r="U54" s="14">
        <v>6.7</v>
      </c>
      <c r="V54" s="14">
        <v>50</v>
      </c>
      <c r="W54" s="14">
        <v>10.5</v>
      </c>
      <c r="X54" s="14"/>
      <c r="Y54" s="14">
        <f>SQRT(Targets_DW[[#This Row],[TWS (km/h)]]^2+Targets_DW[[#This Row],[BSP (km/h)]]^2+2*Targets_DW[[#This Row],[TWS (km/h)]]*Targets_DW[[#This Row],[BSP (km/h)]]*COS(RADIANS(Targets_DW[[#This Row],[TWA (deg)]]+Targets_DW[[#This Row],[LEEWAY (deg)]])))</f>
        <v>9.2726406420050402</v>
      </c>
      <c r="Z54" s="14">
        <f>DEGREES(ASIN(Targets_DW[[#This Row],[TWS (km/h)]]*SIN(RADIANS(Targets_DW[[#This Row],[TWA (deg)]]+Targets_DW[[#This Row],[LEEWAY (deg)]]))/Targets_DW[[#This Row],[AWS]]))</f>
        <v>31.308446755101439</v>
      </c>
      <c r="AA54" s="14">
        <f>Targets_DW[[#This Row],[AWA+Leeway]]-Targets_DW[[#This Row],[ROT (deg)]]</f>
        <v>3.8084467551014392</v>
      </c>
      <c r="AB54" s="14">
        <f>Targets_DW[[#This Row],[TWS (km/h)]]*(Targets_DW[[#This Row],[Wing]]/10)^0.1</f>
        <v>7.6404539793252786</v>
      </c>
      <c r="AC54" s="14">
        <f>SQRT(Targets_DW[[#This Row],[TWSTop]]^2+Targets_DW[[#This Row],[BSP (km/h)]]^2+2*Targets_DW[[#This Row],[BSP (km/h)]]*Targets_DW[[#This Row],[TWSTop]]*COS(RADIANS(Targets_DW[[#This Row],[TWA (deg)]]+Targets_DW[[#This Row],[LEEWAY (deg)]])))</f>
        <v>9.1257662704646876</v>
      </c>
      <c r="AD54" s="14">
        <f>DEGREES(ASIN(Targets_DW[[#This Row],[TWSTop]]*SIN(RADIANS(Targets_DW[[#This Row],[TWA (deg)]]+Targets_DW[[#This Row],[LEEWAY (deg)]]))/Targets_DW[[#This Row],[AWSTop]]))</f>
        <v>35.191970222579094</v>
      </c>
      <c r="AE54" s="14">
        <f>Targets_DW[[#This Row],[AWA+Leeway Top]]-Targets_DW[[#This Row],[ROT (deg)]]</f>
        <v>7.6919702225790942</v>
      </c>
      <c r="AF54" s="14">
        <f>Targets_DW[[#This Row],[CLEW (deg)]]+Targets_DW[[#This Row],[TWIST (deg)]]</f>
        <v>16.7</v>
      </c>
      <c r="AG54" s="15">
        <f>Targets_DW[[#This Row],[AWA+Leeway Top]]-Targets_DW[[#This Row],[CA6]]</f>
        <v>18.491970222579095</v>
      </c>
      <c r="AH54" s="16">
        <f>Targets_DW[[#This Row],[AWA+Leeway]]-Targets_DW[[#This Row],[JibLead (deg)]]</f>
        <v>20.808446755101439</v>
      </c>
    </row>
    <row r="55" spans="1:34" x14ac:dyDescent="0.25">
      <c r="A55" s="17" t="s">
        <v>38</v>
      </c>
      <c r="B55" s="18" t="s">
        <v>33</v>
      </c>
      <c r="C55" s="18" t="s">
        <v>36</v>
      </c>
      <c r="D55" s="18">
        <v>24</v>
      </c>
      <c r="E55" s="18" t="str">
        <f t="shared" si="0"/>
        <v>H2_HSB2_LARW2-24m</v>
      </c>
      <c r="F55" s="18">
        <v>9</v>
      </c>
      <c r="G55" s="16">
        <f>ABS(Targets_DW[[#This Row],[BSP (km/h)]]*COS(RADIANS(Targets_DW[[#This Row],[TWA (deg)]]+Targets_DW[[#This Row],[LEEWAY (deg)]])))</f>
        <v>10.517928379678171</v>
      </c>
      <c r="H55" s="16">
        <v>14.5</v>
      </c>
      <c r="I55" s="16">
        <v>135</v>
      </c>
      <c r="J55" s="16">
        <v>1.5</v>
      </c>
      <c r="K55" s="16">
        <v>4.5</v>
      </c>
      <c r="L55" s="16">
        <v>-0.4</v>
      </c>
      <c r="M55" s="16">
        <f>Targets_DW[[#This Row],[CANT (deg)]]-Targets_DW[[#This Row],[HEEL (deg)]]</f>
        <v>4.9000000000000004</v>
      </c>
      <c r="N55" s="16"/>
      <c r="O55" s="16">
        <v>0</v>
      </c>
      <c r="P55" s="16">
        <v>2.6</v>
      </c>
      <c r="Q55" s="16">
        <v>-0.3</v>
      </c>
      <c r="R55" s="16">
        <v>-35</v>
      </c>
      <c r="S55" s="16">
        <f>Targets_DW[[#This Row],[CLEW (deg)]]-0.5*Targets_DW[[#This Row],[CA1 (deg)]]</f>
        <v>34.5</v>
      </c>
      <c r="T55" s="16">
        <v>17</v>
      </c>
      <c r="U55" s="16">
        <v>7</v>
      </c>
      <c r="V55" s="16">
        <v>55</v>
      </c>
      <c r="W55" s="16">
        <v>10.5</v>
      </c>
      <c r="X55" s="16"/>
      <c r="Y55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10.095904573924663</v>
      </c>
      <c r="Z55" s="16">
        <f>DEGREES(ASIN(Targets_DW[[#This Row],[TWS (km/h)]]*SIN(RADIANS(Targets_DW[[#This Row],[TWA (deg)]]+Targets_DW[[#This Row],[LEEWAY (deg)]]))/Targets_DW[[#This Row],[AWS]]))</f>
        <v>37.852737498776065</v>
      </c>
      <c r="AA55" s="16">
        <f>Targets_DW[[#This Row],[AWA+Leeway]]-Targets_DW[[#This Row],[ROT (deg)]]</f>
        <v>3.3527374987760652</v>
      </c>
      <c r="AB55" s="16">
        <f>Targets_DW[[#This Row],[TWS (km/h)]]*(Targets_DW[[#This Row],[Wing]]/10)^0.1</f>
        <v>9.8234408305610721</v>
      </c>
      <c r="AC55" s="16">
        <f>SQRT(Targets_DW[[#This Row],[TWSTop]]^2+Targets_DW[[#This Row],[BSP (km/h)]]^2+2*Targets_DW[[#This Row],[BSP (km/h)]]*Targets_DW[[#This Row],[TWSTop]]*COS(RADIANS(Targets_DW[[#This Row],[TWA (deg)]]+Targets_DW[[#This Row],[LEEWAY (deg)]])))</f>
        <v>10.005273387361244</v>
      </c>
      <c r="AD55" s="16">
        <f>DEGREES(ASIN(Targets_DW[[#This Row],[TWSTop]]*SIN(RADIANS(Targets_DW[[#This Row],[TWA (deg)]]+Targets_DW[[#This Row],[LEEWAY (deg)]]))/Targets_DW[[#This Row],[AWSTop]]))</f>
        <v>42.51977616487936</v>
      </c>
      <c r="AE55" s="16">
        <f>Targets_DW[[#This Row],[AWA+Leeway Top]]-Targets_DW[[#This Row],[ROT (deg)]]</f>
        <v>8.0197761648793602</v>
      </c>
      <c r="AF55" s="16">
        <f>Targets_DW[[#This Row],[CLEW (deg)]]+Targets_DW[[#This Row],[TWIST (deg)]]</f>
        <v>24</v>
      </c>
      <c r="AG55" s="19">
        <f>Targets_DW[[#This Row],[AWA+Leeway Top]]-Targets_DW[[#This Row],[CA6]]</f>
        <v>18.51977616487936</v>
      </c>
      <c r="AH55" s="16">
        <f>Targets_DW[[#This Row],[AWA+Leeway]]-Targets_DW[[#This Row],[JibLead (deg)]]</f>
        <v>27.352737498776065</v>
      </c>
    </row>
    <row r="56" spans="1:34" x14ac:dyDescent="0.25">
      <c r="A56" s="17" t="s">
        <v>38</v>
      </c>
      <c r="B56" s="18" t="s">
        <v>33</v>
      </c>
      <c r="C56" s="18" t="s">
        <v>36</v>
      </c>
      <c r="D56" s="18">
        <v>24</v>
      </c>
      <c r="E56" s="18" t="str">
        <f t="shared" si="0"/>
        <v>H2_HSB2_LARW2-24m</v>
      </c>
      <c r="F56" s="18">
        <v>11</v>
      </c>
      <c r="G56" s="16">
        <f>ABS(Targets_DW[[#This Row],[BSP (km/h)]]*COS(RADIANS(Targets_DW[[#This Row],[TWA (deg)]]+Targets_DW[[#This Row],[LEEWAY (deg)]])))</f>
        <v>11.605989936196602</v>
      </c>
      <c r="H56" s="16">
        <v>16</v>
      </c>
      <c r="I56" s="16">
        <v>135</v>
      </c>
      <c r="J56" s="16">
        <v>1.5</v>
      </c>
      <c r="K56" s="16">
        <v>4.5</v>
      </c>
      <c r="L56" s="16">
        <v>-0.6</v>
      </c>
      <c r="M56" s="16">
        <f>Targets_DW[[#This Row],[CANT (deg)]]-Targets_DW[[#This Row],[HEEL (deg)]]</f>
        <v>5.0999999999999996</v>
      </c>
      <c r="N56" s="16"/>
      <c r="O56" s="16">
        <v>0</v>
      </c>
      <c r="P56" s="16">
        <v>2.6</v>
      </c>
      <c r="Q56" s="16">
        <v>-0.3</v>
      </c>
      <c r="R56" s="16">
        <v>-35</v>
      </c>
      <c r="S56" s="16">
        <f>Targets_DW[[#This Row],[CLEW (deg)]]-0.5*Targets_DW[[#This Row],[CA1 (deg)]]</f>
        <v>39.5</v>
      </c>
      <c r="T56" s="16">
        <v>22</v>
      </c>
      <c r="U56" s="16">
        <v>8.1</v>
      </c>
      <c r="V56" s="16">
        <v>60</v>
      </c>
      <c r="W56" s="16">
        <v>10.5</v>
      </c>
      <c r="X56" s="16"/>
      <c r="Y56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11.0303318809397</v>
      </c>
      <c r="Z56" s="16">
        <f>DEGREES(ASIN(Targets_DW[[#This Row],[TWS (km/h)]]*SIN(RADIANS(Targets_DW[[#This Row],[TWA (deg)]]+Targets_DW[[#This Row],[LEEWAY (deg)]]))/Targets_DW[[#This Row],[AWS]]))</f>
        <v>43.350669971596119</v>
      </c>
      <c r="AA56" s="16">
        <f>Targets_DW[[#This Row],[AWA+Leeway]]-Targets_DW[[#This Row],[ROT (deg)]]</f>
        <v>3.850669971596119</v>
      </c>
      <c r="AB56" s="16">
        <f>Targets_DW[[#This Row],[TWS (km/h)]]*(Targets_DW[[#This Row],[Wing]]/10)^0.1</f>
        <v>12.006427681796866</v>
      </c>
      <c r="AC56" s="16">
        <f>SQRT(Targets_DW[[#This Row],[TWSTop]]^2+Targets_DW[[#This Row],[BSP (km/h)]]^2+2*Targets_DW[[#This Row],[BSP (km/h)]]*Targets_DW[[#This Row],[TWSTop]]*COS(RADIANS(Targets_DW[[#This Row],[TWA (deg)]]+Targets_DW[[#This Row],[LEEWAY (deg)]])))</f>
        <v>11.020950412237802</v>
      </c>
      <c r="AD56" s="16">
        <f>DEGREES(ASIN(Targets_DW[[#This Row],[TWSTop]]*SIN(RADIANS(Targets_DW[[#This Row],[TWA (deg)]]+Targets_DW[[#This Row],[LEEWAY (deg)]]))/Targets_DW[[#This Row],[AWSTop]]))</f>
        <v>48.58225635213455</v>
      </c>
      <c r="AE56" s="16">
        <f>Targets_DW[[#This Row],[AWA+Leeway Top]]-Targets_DW[[#This Row],[ROT (deg)]]</f>
        <v>9.0822563521345501</v>
      </c>
      <c r="AF56" s="16">
        <f>Targets_DW[[#This Row],[CLEW (deg)]]+Targets_DW[[#This Row],[TWIST (deg)]]</f>
        <v>30.1</v>
      </c>
      <c r="AG56" s="19">
        <f>Targets_DW[[#This Row],[AWA+Leeway Top]]-Targets_DW[[#This Row],[CA6]]</f>
        <v>18.482256352134549</v>
      </c>
      <c r="AH56" s="16">
        <f>Targets_DW[[#This Row],[AWA+Leeway]]-Targets_DW[[#This Row],[JibLead (deg)]]</f>
        <v>32.850669971596119</v>
      </c>
    </row>
    <row r="57" spans="1:34" x14ac:dyDescent="0.25">
      <c r="A57" s="17" t="s">
        <v>38</v>
      </c>
      <c r="B57" s="18" t="s">
        <v>33</v>
      </c>
      <c r="C57" s="18" t="s">
        <v>36</v>
      </c>
      <c r="D57" s="18">
        <v>24</v>
      </c>
      <c r="E57" s="18" t="str">
        <f t="shared" si="0"/>
        <v>H2_HSB2_LARW2-24m</v>
      </c>
      <c r="F57" s="18">
        <v>13</v>
      </c>
      <c r="G57" s="16">
        <f>ABS(Targets_DW[[#This Row],[BSP (km/h)]]*COS(RADIANS(Targets_DW[[#This Row],[TWA (deg)]]+Targets_DW[[#This Row],[LEEWAY (deg)]])))</f>
        <v>13.056738678221178</v>
      </c>
      <c r="H57" s="16">
        <v>18</v>
      </c>
      <c r="I57" s="16">
        <v>135</v>
      </c>
      <c r="J57" s="16">
        <v>1.5</v>
      </c>
      <c r="K57" s="16">
        <v>4.5</v>
      </c>
      <c r="L57" s="16">
        <v>-0.8</v>
      </c>
      <c r="M57" s="16">
        <f>Targets_DW[[#This Row],[CANT (deg)]]-Targets_DW[[#This Row],[HEEL (deg)]]</f>
        <v>5.3</v>
      </c>
      <c r="N57" s="16"/>
      <c r="O57" s="16">
        <v>0</v>
      </c>
      <c r="P57" s="16">
        <v>2.6</v>
      </c>
      <c r="Q57" s="16">
        <v>-0.3</v>
      </c>
      <c r="R57" s="16">
        <v>-35</v>
      </c>
      <c r="S57" s="16">
        <f>Targets_DW[[#This Row],[CLEW (deg)]]-0.5*Targets_DW[[#This Row],[CA1 (deg)]]</f>
        <v>42.5</v>
      </c>
      <c r="T57" s="16">
        <v>25</v>
      </c>
      <c r="U57" s="16">
        <v>8.1999999999999993</v>
      </c>
      <c r="V57" s="16">
        <v>70</v>
      </c>
      <c r="W57" s="16">
        <v>10.5</v>
      </c>
      <c r="X57" s="16"/>
      <c r="Y57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12.390512272147969</v>
      </c>
      <c r="Z57" s="16">
        <f>DEGREES(ASIN(Targets_DW[[#This Row],[TWS (km/h)]]*SIN(RADIANS(Targets_DW[[#This Row],[TWA (deg)]]+Targets_DW[[#This Row],[LEEWAY (deg)]]))/Targets_DW[[#This Row],[AWS]]))</f>
        <v>46.237630044077846</v>
      </c>
      <c r="AA57" s="16">
        <f>Targets_DW[[#This Row],[AWA+Leeway]]-Targets_DW[[#This Row],[ROT (deg)]]</f>
        <v>3.7376300440778465</v>
      </c>
      <c r="AB57" s="16">
        <f>Targets_DW[[#This Row],[TWS (km/h)]]*(Targets_DW[[#This Row],[Wing]]/10)^0.1</f>
        <v>14.189414533032661</v>
      </c>
      <c r="AC57" s="16">
        <f>SQRT(Targets_DW[[#This Row],[TWSTop]]^2+Targets_DW[[#This Row],[BSP (km/h)]]^2+2*Targets_DW[[#This Row],[BSP (km/h)]]*Targets_DW[[#This Row],[TWSTop]]*COS(RADIANS(Targets_DW[[#This Row],[TWA (deg)]]+Targets_DW[[#This Row],[LEEWAY (deg)]])))</f>
        <v>12.442046844499339</v>
      </c>
      <c r="AD57" s="16">
        <f>DEGREES(ASIN(Targets_DW[[#This Row],[TWSTop]]*SIN(RADIANS(Targets_DW[[#This Row],[TWA (deg)]]+Targets_DW[[#This Row],[LEEWAY (deg)]]))/Targets_DW[[#This Row],[AWSTop]]))</f>
        <v>51.723217963397843</v>
      </c>
      <c r="AE57" s="16">
        <f>Targets_DW[[#This Row],[AWA+Leeway Top]]-Targets_DW[[#This Row],[ROT (deg)]]</f>
        <v>9.2232179633978433</v>
      </c>
      <c r="AF57" s="16">
        <f>Targets_DW[[#This Row],[CLEW (deg)]]+Targets_DW[[#This Row],[TWIST (deg)]]</f>
        <v>33.200000000000003</v>
      </c>
      <c r="AG57" s="19">
        <f>Targets_DW[[#This Row],[AWA+Leeway Top]]-Targets_DW[[#This Row],[CA6]]</f>
        <v>18.52321796339784</v>
      </c>
      <c r="AH57" s="16">
        <f>Targets_DW[[#This Row],[AWA+Leeway]]-Targets_DW[[#This Row],[JibLead (deg)]]</f>
        <v>35.737630044077846</v>
      </c>
    </row>
    <row r="58" spans="1:34" x14ac:dyDescent="0.25">
      <c r="A58" s="17" t="s">
        <v>38</v>
      </c>
      <c r="B58" s="18" t="s">
        <v>33</v>
      </c>
      <c r="C58" s="18" t="s">
        <v>36</v>
      </c>
      <c r="D58" s="18">
        <v>24</v>
      </c>
      <c r="E58" s="18" t="str">
        <f>A58 &amp; "_" &amp; B58 &amp; "_" &amp; C58 &amp; "-" &amp; D58 &amp; "m"</f>
        <v>H2_HSB2_LARW2-24m</v>
      </c>
      <c r="F58" s="18">
        <v>15</v>
      </c>
      <c r="G58" s="16">
        <f>ABS(Targets_DW[[#This Row],[BSP (km/h)]]*COS(RADIANS(Targets_DW[[#This Row],[TWA (deg)]]+Targets_DW[[#This Row],[LEEWAY (deg)]])))</f>
        <v>15.958236162270328</v>
      </c>
      <c r="H58" s="16">
        <v>22</v>
      </c>
      <c r="I58" s="16">
        <v>135</v>
      </c>
      <c r="J58" s="16">
        <v>1.5</v>
      </c>
      <c r="K58" s="16">
        <v>4.5</v>
      </c>
      <c r="L58" s="16">
        <v>-1.5</v>
      </c>
      <c r="M58" s="16">
        <f>Targets_DW[[#This Row],[CANT (deg)]]-Targets_DW[[#This Row],[HEEL (deg)]]</f>
        <v>6</v>
      </c>
      <c r="N58" s="16"/>
      <c r="O58" s="16">
        <v>0</v>
      </c>
      <c r="P58" s="16">
        <v>2.6</v>
      </c>
      <c r="Q58" s="16">
        <v>-0.3</v>
      </c>
      <c r="R58" s="16">
        <v>-35</v>
      </c>
      <c r="S58" s="16">
        <f>Targets_DW[[#This Row],[CLEW (deg)]]-0.5*Targets_DW[[#This Row],[CA1 (deg)]]</f>
        <v>42.5</v>
      </c>
      <c r="T58" s="16">
        <v>25</v>
      </c>
      <c r="U58" s="16">
        <v>7.5</v>
      </c>
      <c r="V58" s="16">
        <v>85</v>
      </c>
      <c r="W58" s="16">
        <v>10.5</v>
      </c>
      <c r="X58" s="16"/>
      <c r="Y58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15.174086962051133</v>
      </c>
      <c r="Z58" s="16">
        <f>DEGREES(ASIN(Targets_DW[[#This Row],[TWS (km/h)]]*SIN(RADIANS(Targets_DW[[#This Row],[TWA (deg)]]+Targets_DW[[#This Row],[LEEWAY (deg)]]))/Targets_DW[[#This Row],[AWS]]))</f>
        <v>42.879390437341229</v>
      </c>
      <c r="AA58" s="16">
        <f>Targets_DW[[#This Row],[AWA+Leeway]]-Targets_DW[[#This Row],[ROT (deg)]]</f>
        <v>0.3793904373412289</v>
      </c>
      <c r="AB58" s="16">
        <f>Targets_DW[[#This Row],[TWS (km/h)]]*(Targets_DW[[#This Row],[Wing]]/10)^0.1</f>
        <v>16.372401384268453</v>
      </c>
      <c r="AC58" s="16">
        <f>SQRT(Targets_DW[[#This Row],[TWSTop]]^2+Targets_DW[[#This Row],[BSP (km/h)]]^2+2*Targets_DW[[#This Row],[BSP (km/h)]]*Targets_DW[[#This Row],[TWSTop]]*COS(RADIANS(Targets_DW[[#This Row],[TWA (deg)]]+Targets_DW[[#This Row],[LEEWAY (deg)]])))</f>
        <v>15.149463073664371</v>
      </c>
      <c r="AD58" s="16">
        <f>DEGREES(ASIN(Targets_DW[[#This Row],[TWSTop]]*SIN(RADIANS(Targets_DW[[#This Row],[TWA (deg)]]+Targets_DW[[#This Row],[LEEWAY (deg)]]))/Targets_DW[[#This Row],[AWSTop]]))</f>
        <v>48.066582001987307</v>
      </c>
      <c r="AE58" s="16">
        <f>Targets_DW[[#This Row],[AWA+Leeway Top]]-Targets_DW[[#This Row],[ROT (deg)]]</f>
        <v>5.5665820019873067</v>
      </c>
      <c r="AF58" s="16">
        <f>Targets_DW[[#This Row],[CLEW (deg)]]+Targets_DW[[#This Row],[TWIST (deg)]]</f>
        <v>32.5</v>
      </c>
      <c r="AG58" s="19">
        <f>Targets_DW[[#This Row],[AWA+Leeway Top]]-Targets_DW[[#This Row],[CA6]]</f>
        <v>15.566582001987307</v>
      </c>
      <c r="AH58" s="16">
        <f>Targets_DW[[#This Row],[AWA+Leeway]]-Targets_DW[[#This Row],[JibLead (deg)]]</f>
        <v>32.379390437341229</v>
      </c>
    </row>
    <row r="59" spans="1:34" x14ac:dyDescent="0.25">
      <c r="A59" s="20" t="s">
        <v>40</v>
      </c>
      <c r="B59" s="21" t="s">
        <v>33</v>
      </c>
      <c r="C59" s="21" t="s">
        <v>36</v>
      </c>
      <c r="D59" s="21">
        <v>24</v>
      </c>
      <c r="E59" s="21" t="str">
        <f>A59 &amp; "_" &amp; B59 &amp; "_" &amp; C59 &amp; "-" &amp; D59 &amp; "m"</f>
        <v>H1-2B_HSB2_LARW2-24m</v>
      </c>
      <c r="F59" s="21">
        <v>12</v>
      </c>
      <c r="G59" s="22">
        <f>ABS(Targets_DW[[#This Row],[BSP (km/h)]]*COS(RADIANS(Targets_DW[[#This Row],[TWA (deg)]]+Targets_DW[[#This Row],[LEEWAY (deg)]])))</f>
        <v>10.959278669726938</v>
      </c>
      <c r="H59" s="22">
        <v>25</v>
      </c>
      <c r="I59" s="22">
        <v>113</v>
      </c>
      <c r="J59" s="22">
        <v>3</v>
      </c>
      <c r="K59" s="22">
        <v>0</v>
      </c>
      <c r="L59" s="22">
        <v>-8</v>
      </c>
      <c r="M59" s="22">
        <f>Targets_DW[[#This Row],[CANT (deg)]]-Targets_DW[[#This Row],[HEEL (deg)]]</f>
        <v>8</v>
      </c>
      <c r="N59" s="22"/>
      <c r="O59" s="22">
        <v>0</v>
      </c>
      <c r="P59" s="22">
        <v>3</v>
      </c>
      <c r="Q59" s="22">
        <v>-0.5</v>
      </c>
      <c r="R59" s="22">
        <v>-35</v>
      </c>
      <c r="S59" s="22">
        <f>Targets_DW[[#This Row],[CLEW (deg)]]-0.5*Targets_DW[[#This Row],[CA1 (deg)]]</f>
        <v>18.5</v>
      </c>
      <c r="T59" s="22">
        <v>1</v>
      </c>
      <c r="U59" s="22">
        <v>10.4</v>
      </c>
      <c r="V59" s="22">
        <v>110</v>
      </c>
      <c r="W59" s="22">
        <v>10.5</v>
      </c>
      <c r="X59" s="22"/>
      <c r="Y59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22.49393944880606</v>
      </c>
      <c r="Z59" s="22">
        <f>DEGREES(ASIN(Targets_DW[[#This Row],[TWS (km/h)]]*SIN(RADIANS(Targets_DW[[#This Row],[TWA (deg)]]+Targets_DW[[#This Row],[LEEWAY (deg)]]))/Targets_DW[[#This Row],[AWS]]))</f>
        <v>28.651835809433855</v>
      </c>
      <c r="AA59" s="22">
        <f>Targets_DW[[#This Row],[AWA+Leeway]]-Targets_DW[[#This Row],[ROT (deg)]]</f>
        <v>10.151835809433855</v>
      </c>
      <c r="AB59" s="22">
        <f>Targets_DW[[#This Row],[TWS (km/h)]]*(Targets_DW[[#This Row],[Wing]]/10)^0.1</f>
        <v>13.097921107414763</v>
      </c>
      <c r="AC59" s="22">
        <f>SQRT(Targets_DW[[#This Row],[TWSTop]]^2+Targets_DW[[#This Row],[BSP (km/h)]]^2+2*Targets_DW[[#This Row],[BSP (km/h)]]*Targets_DW[[#This Row],[TWSTop]]*COS(RADIANS(Targets_DW[[#This Row],[TWA (deg)]]+Targets_DW[[#This Row],[LEEWAY (deg)]])))</f>
        <v>22.571397885721378</v>
      </c>
      <c r="AD59" s="22">
        <f>DEGREES(ASIN(Targets_DW[[#This Row],[TWSTop]]*SIN(RADIANS(Targets_DW[[#This Row],[TWA (deg)]]+Targets_DW[[#This Row],[LEEWAY (deg)]]))/Targets_DW[[#This Row],[AWSTop]]))</f>
        <v>31.43693730636253</v>
      </c>
      <c r="AE59" s="22">
        <f>Targets_DW[[#This Row],[AWA+Leeway Top]]-Targets_DW[[#This Row],[ROT (deg)]]</f>
        <v>12.93693730636253</v>
      </c>
      <c r="AF59" s="22">
        <f>Targets_DW[[#This Row],[CLEW (deg)]]+Targets_DW[[#This Row],[TWIST (deg)]]</f>
        <v>11.4</v>
      </c>
      <c r="AG59" s="23">
        <f>Targets_DW[[#This Row],[AWA+Leeway Top]]-Targets_DW[[#This Row],[CA6]]</f>
        <v>20.036937306362532</v>
      </c>
      <c r="AH59" s="22">
        <f>Targets_DW[[#This Row],[AWA+Leeway]]-Targets_DW[[#This Row],[JibLead (deg)]]</f>
        <v>18.151835809433855</v>
      </c>
    </row>
    <row r="60" spans="1:34" x14ac:dyDescent="0.25">
      <c r="A60" s="20" t="s">
        <v>40</v>
      </c>
      <c r="B60" s="21" t="s">
        <v>33</v>
      </c>
      <c r="C60" s="21" t="s">
        <v>36</v>
      </c>
      <c r="D60" s="21">
        <v>24</v>
      </c>
      <c r="E60" s="21" t="str">
        <f>A60 &amp; "_" &amp; B60 &amp; "_" &amp; C60 &amp; "-" &amp; D60 &amp; "m"</f>
        <v>H1-2B_HSB2_LARW2-24m</v>
      </c>
      <c r="F60" s="21">
        <v>13</v>
      </c>
      <c r="G60" s="22">
        <f>ABS(Targets_DW[[#This Row],[BSP (km/h)]]*COS(RADIANS(Targets_DW[[#This Row],[TWA (deg)]]+Targets_DW[[#This Row],[LEEWAY (deg)]])))</f>
        <v>11.971524851040218</v>
      </c>
      <c r="H60" s="22">
        <v>25.5</v>
      </c>
      <c r="I60" s="22">
        <v>115</v>
      </c>
      <c r="J60" s="22">
        <v>3</v>
      </c>
      <c r="K60" s="22">
        <v>0</v>
      </c>
      <c r="L60" s="22">
        <v>-8</v>
      </c>
      <c r="M60" s="22">
        <f>Targets_DW[[#This Row],[CANT (deg)]]-Targets_DW[[#This Row],[HEEL (deg)]]</f>
        <v>8</v>
      </c>
      <c r="N60" s="22"/>
      <c r="O60" s="22">
        <v>0</v>
      </c>
      <c r="P60" s="22">
        <v>3</v>
      </c>
      <c r="Q60" s="22">
        <v>-0.5</v>
      </c>
      <c r="R60" s="22">
        <v>-35</v>
      </c>
      <c r="S60" s="22">
        <f>Targets_DW[[#This Row],[CLEW (deg)]]-0.5*Targets_DW[[#This Row],[CA1 (deg)]]</f>
        <v>20.5</v>
      </c>
      <c r="T60" s="22">
        <v>3</v>
      </c>
      <c r="U60" s="22">
        <v>10.6</v>
      </c>
      <c r="V60" s="22">
        <v>110</v>
      </c>
      <c r="W60" s="22">
        <v>10.5</v>
      </c>
      <c r="X60" s="22"/>
      <c r="Y60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22.538641349312837</v>
      </c>
      <c r="Z60" s="22">
        <f>DEGREES(ASIN(Targets_DW[[#This Row],[TWS (km/h)]]*SIN(RADIANS(Targets_DW[[#This Row],[TWA (deg)]]+Targets_DW[[#This Row],[LEEWAY (deg)]]))/Targets_DW[[#This Row],[AWS]]))</f>
        <v>30.615408525766529</v>
      </c>
      <c r="AA60" s="22">
        <f>Targets_DW[[#This Row],[AWA+Leeway]]-Targets_DW[[#This Row],[ROT (deg)]]</f>
        <v>10.115408525766529</v>
      </c>
      <c r="AB60" s="22">
        <f>Targets_DW[[#This Row],[TWS (km/h)]]*(Targets_DW[[#This Row],[Wing]]/10)^0.1</f>
        <v>14.189414533032661</v>
      </c>
      <c r="AC60" s="22">
        <f>SQRT(Targets_DW[[#This Row],[TWSTop]]^2+Targets_DW[[#This Row],[BSP (km/h)]]^2+2*Targets_DW[[#This Row],[BSP (km/h)]]*Targets_DW[[#This Row],[TWSTop]]*COS(RADIANS(Targets_DW[[#This Row],[TWA (deg)]]+Targets_DW[[#This Row],[LEEWAY (deg)]])))</f>
        <v>22.624138157782166</v>
      </c>
      <c r="AD60" s="22">
        <f>DEGREES(ASIN(Targets_DW[[#This Row],[TWSTop]]*SIN(RADIANS(Targets_DW[[#This Row],[TWA (deg)]]+Targets_DW[[#This Row],[LEEWAY (deg)]]))/Targets_DW[[#This Row],[AWSTop]]))</f>
        <v>33.625855949459975</v>
      </c>
      <c r="AE60" s="22">
        <f>Targets_DW[[#This Row],[AWA+Leeway Top]]-Targets_DW[[#This Row],[ROT (deg)]]</f>
        <v>13.125855949459975</v>
      </c>
      <c r="AF60" s="22">
        <f>Targets_DW[[#This Row],[CLEW (deg)]]+Targets_DW[[#This Row],[TWIST (deg)]]</f>
        <v>13.6</v>
      </c>
      <c r="AG60" s="23">
        <f>Targets_DW[[#This Row],[AWA+Leeway Top]]-Targets_DW[[#This Row],[CA6]]</f>
        <v>20.025855949459974</v>
      </c>
      <c r="AH60" s="22">
        <f>Targets_DW[[#This Row],[AWA+Leeway]]-Targets_DW[[#This Row],[JibLead (deg)]]</f>
        <v>20.115408525766529</v>
      </c>
    </row>
    <row r="61" spans="1:34" x14ac:dyDescent="0.25">
      <c r="A61" s="20" t="s">
        <v>40</v>
      </c>
      <c r="B61" s="21" t="s">
        <v>33</v>
      </c>
      <c r="C61" s="21" t="s">
        <v>36</v>
      </c>
      <c r="D61" s="21">
        <v>24</v>
      </c>
      <c r="E61" s="21" t="str">
        <f>A61 &amp; "_" &amp; B61 &amp; "_" &amp; C61 &amp; "-" &amp; D61 &amp; "m"</f>
        <v>H1-2B_HSB2_LARW2-24m</v>
      </c>
      <c r="F61" s="21">
        <v>14</v>
      </c>
      <c r="G61" s="22">
        <f>ABS(Targets_DW[[#This Row],[BSP (km/h)]]*COS(RADIANS(Targets_DW[[#This Row],[TWA (deg)]]+Targets_DW[[#This Row],[LEEWAY (deg)]])))</f>
        <v>12.999999999999995</v>
      </c>
      <c r="H61" s="22">
        <v>26</v>
      </c>
      <c r="I61" s="22">
        <v>117</v>
      </c>
      <c r="J61" s="22">
        <v>3</v>
      </c>
      <c r="K61" s="22">
        <v>0</v>
      </c>
      <c r="L61" s="22">
        <v>-8</v>
      </c>
      <c r="M61" s="22">
        <f>Targets_DW[[#This Row],[CANT (deg)]]-Targets_DW[[#This Row],[HEEL (deg)]]</f>
        <v>8</v>
      </c>
      <c r="N61" s="22"/>
      <c r="O61" s="22">
        <v>0</v>
      </c>
      <c r="P61" s="22">
        <v>3</v>
      </c>
      <c r="Q61" s="22">
        <v>-0.5</v>
      </c>
      <c r="R61" s="22">
        <v>-35</v>
      </c>
      <c r="S61" s="22">
        <f>Targets_DW[[#This Row],[CLEW (deg)]]-0.5*Targets_DW[[#This Row],[CA1 (deg)]]</f>
        <v>22.5</v>
      </c>
      <c r="T61" s="22">
        <v>5</v>
      </c>
      <c r="U61" s="22">
        <v>10.8</v>
      </c>
      <c r="V61" s="22">
        <v>110</v>
      </c>
      <c r="W61" s="22">
        <v>10.5</v>
      </c>
      <c r="X61" s="22"/>
      <c r="Y61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22.538855339169295</v>
      </c>
      <c r="Z61" s="22">
        <f>DEGREES(ASIN(Targets_DW[[#This Row],[TWS (km/h)]]*SIN(RADIANS(Targets_DW[[#This Row],[TWA (deg)]]+Targets_DW[[#This Row],[LEEWAY (deg)]]))/Targets_DW[[#This Row],[AWS]]))</f>
        <v>32.54292390406173</v>
      </c>
      <c r="AA61" s="22">
        <f>Targets_DW[[#This Row],[AWA+Leeway]]-Targets_DW[[#This Row],[ROT (deg)]]</f>
        <v>10.04292390406173</v>
      </c>
      <c r="AB61" s="22">
        <f>Targets_DW[[#This Row],[TWS (km/h)]]*(Targets_DW[[#This Row],[Wing]]/10)^0.1</f>
        <v>15.280907958650557</v>
      </c>
      <c r="AC61" s="22">
        <f>SQRT(Targets_DW[[#This Row],[TWSTop]]^2+Targets_DW[[#This Row],[BSP (km/h)]]^2+2*Targets_DW[[#This Row],[BSP (km/h)]]*Targets_DW[[#This Row],[TWSTop]]*COS(RADIANS(Targets_DW[[#This Row],[TWA (deg)]]+Targets_DW[[#This Row],[LEEWAY (deg)]])))</f>
        <v>22.631892124076494</v>
      </c>
      <c r="AD61" s="22">
        <f>DEGREES(ASIN(Targets_DW[[#This Row],[TWSTop]]*SIN(RADIANS(Targets_DW[[#This Row],[TWA (deg)]]+Targets_DW[[#This Row],[LEEWAY (deg)]]))/Targets_DW[[#This Row],[AWSTop]]))</f>
        <v>35.784255716394739</v>
      </c>
      <c r="AE61" s="22">
        <f>Targets_DW[[#This Row],[AWA+Leeway Top]]-Targets_DW[[#This Row],[ROT (deg)]]</f>
        <v>13.284255716394739</v>
      </c>
      <c r="AF61" s="22">
        <f>Targets_DW[[#This Row],[CLEW (deg)]]+Targets_DW[[#This Row],[TWIST (deg)]]</f>
        <v>15.8</v>
      </c>
      <c r="AG61" s="23">
        <f>Targets_DW[[#This Row],[AWA+Leeway Top]]-Targets_DW[[#This Row],[CA6]]</f>
        <v>19.984255716394738</v>
      </c>
      <c r="AH61" s="22">
        <f>Targets_DW[[#This Row],[AWA+Leeway]]-Targets_DW[[#This Row],[JibLead (deg)]]</f>
        <v>22.04292390406173</v>
      </c>
    </row>
    <row r="62" spans="1:34" ht="15.75" thickBot="1" x14ac:dyDescent="0.3">
      <c r="A62" s="24" t="s">
        <v>41</v>
      </c>
      <c r="B62" s="25" t="s">
        <v>33</v>
      </c>
      <c r="C62" s="25" t="s">
        <v>36</v>
      </c>
      <c r="D62" s="25">
        <v>24</v>
      </c>
      <c r="E62" s="25" t="str">
        <f>A62 &amp; "_" &amp; B62 &amp; "_" &amp; C62 &amp; "-" &amp; D62 &amp; "m"</f>
        <v>H1_HSB2_LARW2-24m</v>
      </c>
      <c r="F62" s="25">
        <v>14</v>
      </c>
      <c r="G62" s="26">
        <f>ABS(Targets_DW[[#This Row],[BSP (km/h)]]*COS(RADIANS(Targets_DW[[#This Row],[TWA (deg)]]+Targets_DW[[#This Row],[LEEWAY (deg)]])))</f>
        <v>10.86359120906145</v>
      </c>
      <c r="H62" s="26">
        <v>29</v>
      </c>
      <c r="I62" s="26">
        <v>110</v>
      </c>
      <c r="J62" s="26">
        <v>2</v>
      </c>
      <c r="K62" s="26">
        <v>-1</v>
      </c>
      <c r="L62" s="26">
        <v>-10</v>
      </c>
      <c r="M62" s="26">
        <f>Targets_DW[[#This Row],[CANT (deg)]]-Targets_DW[[#This Row],[HEEL (deg)]]</f>
        <v>9</v>
      </c>
      <c r="N62" s="26"/>
      <c r="O62" s="26">
        <v>0</v>
      </c>
      <c r="P62" s="26">
        <v>3</v>
      </c>
      <c r="Q62" s="26">
        <v>-0.8</v>
      </c>
      <c r="R62" s="26">
        <v>-35</v>
      </c>
      <c r="S62" s="26">
        <f>Targets_DW[[#This Row],[CLEW (deg)]]-0.5*Targets_DW[[#This Row],[CA1 (deg)]]</f>
        <v>18.5</v>
      </c>
      <c r="T62" s="26">
        <v>1</v>
      </c>
      <c r="U62" s="26">
        <v>11.3</v>
      </c>
      <c r="V62" s="26">
        <v>140</v>
      </c>
      <c r="W62" s="26">
        <v>10.5</v>
      </c>
      <c r="X62" s="26"/>
      <c r="Y62" s="26">
        <f>SQRT(Targets_DW[[#This Row],[TWS (km/h)]]^2+Targets_DW[[#This Row],[BSP (km/h)]]^2+2*Targets_DW[[#This Row],[TWS (km/h)]]*Targets_DW[[#This Row],[BSP (km/h)]]*COS(RADIANS(Targets_DW[[#This Row],[TWA (deg)]]+Targets_DW[[#This Row],[LEEWAY (deg)]])))</f>
        <v>27.070638081624146</v>
      </c>
      <c r="Z62" s="26">
        <f>DEGREES(ASIN(Targets_DW[[#This Row],[TWS (km/h)]]*SIN(RADIANS(Targets_DW[[#This Row],[TWA (deg)]]+Targets_DW[[#This Row],[LEEWAY (deg)]]))/Targets_DW[[#This Row],[AWS]]))</f>
        <v>28.653240941795882</v>
      </c>
      <c r="AA62" s="26">
        <f>Targets_DW[[#This Row],[AWA+Leeway]]-Targets_DW[[#This Row],[ROT (deg)]]</f>
        <v>10.153240941795882</v>
      </c>
      <c r="AB62" s="26">
        <f>Targets_DW[[#This Row],[TWS (km/h)]]*(Targets_DW[[#This Row],[Wing]]/10)^0.1</f>
        <v>15.280907958650557</v>
      </c>
      <c r="AC62" s="26">
        <f>SQRT(Targets_DW[[#This Row],[TWSTop]]^2+Targets_DW[[#This Row],[BSP (km/h)]]^2+2*Targets_DW[[#This Row],[BSP (km/h)]]*Targets_DW[[#This Row],[TWSTop]]*COS(RADIANS(Targets_DW[[#This Row],[TWA (deg)]]+Targets_DW[[#This Row],[LEEWAY (deg)]])))</f>
        <v>27.248762784915634</v>
      </c>
      <c r="AD62" s="26">
        <f>DEGREES(ASIN(Targets_DW[[#This Row],[TWSTop]]*SIN(RADIANS(Targets_DW[[#This Row],[TWA (deg)]]+Targets_DW[[#This Row],[LEEWAY (deg)]]))/Targets_DW[[#This Row],[AWSTop]]))</f>
        <v>31.329431659271552</v>
      </c>
      <c r="AE62" s="26">
        <f>Targets_DW[[#This Row],[AWA+Leeway Top]]-Targets_DW[[#This Row],[ROT (deg)]]</f>
        <v>12.829431659271552</v>
      </c>
      <c r="AF62" s="26">
        <f>Targets_DW[[#This Row],[CLEW (deg)]]+Targets_DW[[#This Row],[TWIST (deg)]]</f>
        <v>12.3</v>
      </c>
      <c r="AG62" s="27">
        <f>Targets_DW[[#This Row],[AWA+Leeway Top]]-Targets_DW[[#This Row],[CA6]]</f>
        <v>19.029431659271552</v>
      </c>
      <c r="AH62" s="26">
        <f>Targets_DW[[#This Row],[AWA+Leeway]]-Targets_DW[[#This Row],[JibLead (deg)]]</f>
        <v>18.153240941795882</v>
      </c>
    </row>
    <row r="63" spans="1:34" x14ac:dyDescent="0.25">
      <c r="A63" s="12" t="s">
        <v>38</v>
      </c>
      <c r="B63" s="13" t="s">
        <v>37</v>
      </c>
      <c r="C63" s="13" t="s">
        <v>36</v>
      </c>
      <c r="D63" s="13">
        <v>24</v>
      </c>
      <c r="E63" s="13" t="str">
        <f t="shared" si="0"/>
        <v>H2_LAB2_LARW2-24m</v>
      </c>
      <c r="F63" s="13">
        <v>8</v>
      </c>
      <c r="G63" s="14">
        <f>ABS(Targets_DW[[#This Row],[BSP (km/h)]]*COS(RADIANS(Targets_DW[[#This Row],[TWA (deg)]]+Targets_DW[[#This Row],[LEEWAY (deg)]])))</f>
        <v>9.184826405867101</v>
      </c>
      <c r="H63" s="14">
        <v>14</v>
      </c>
      <c r="I63" s="14">
        <v>130</v>
      </c>
      <c r="J63" s="14">
        <v>1</v>
      </c>
      <c r="K63" s="14">
        <v>4.5</v>
      </c>
      <c r="L63" s="14">
        <v>-0.4</v>
      </c>
      <c r="M63" s="14">
        <f>Targets_DW[[#This Row],[CANT (deg)]]-Targets_DW[[#This Row],[HEEL (deg)]]</f>
        <v>4.9000000000000004</v>
      </c>
      <c r="N63" s="14"/>
      <c r="O63" s="14">
        <v>0</v>
      </c>
      <c r="P63" s="14">
        <v>2.6</v>
      </c>
      <c r="Q63" s="14">
        <v>-0.3</v>
      </c>
      <c r="R63" s="14">
        <v>-35</v>
      </c>
      <c r="S63" s="14">
        <f>Targets_DW[[#This Row],[CLEW (deg)]]-0.5*Targets_DW[[#This Row],[CA1 (deg)]]</f>
        <v>30.5</v>
      </c>
      <c r="T63" s="14">
        <v>13</v>
      </c>
      <c r="U63" s="14">
        <v>7</v>
      </c>
      <c r="V63" s="14">
        <v>58</v>
      </c>
      <c r="W63" s="14">
        <v>10.5</v>
      </c>
      <c r="X63" s="14"/>
      <c r="Y63" s="14">
        <f>SQRT(Targets_DW[[#This Row],[TWS (km/h)]]^2+Targets_DW[[#This Row],[BSP (km/h)]]^2+2*Targets_DW[[#This Row],[TWS (km/h)]]*Targets_DW[[#This Row],[BSP (km/h)]]*COS(RADIANS(Targets_DW[[#This Row],[TWA (deg)]]+Targets_DW[[#This Row],[LEEWAY (deg)]])))</f>
        <v>10.632157706981513</v>
      </c>
      <c r="Z63" s="14">
        <f>DEGREES(ASIN(Targets_DW[[#This Row],[TWS (km/h)]]*SIN(RADIANS(Targets_DW[[#This Row],[TWA (deg)]]+Targets_DW[[#This Row],[LEEWAY (deg)]]))/Targets_DW[[#This Row],[AWS]]))</f>
        <v>34.601783312991678</v>
      </c>
      <c r="AA63" s="14">
        <f>Targets_DW[[#This Row],[AWA+Leeway]]-Targets_DW[[#This Row],[ROT (deg)]]</f>
        <v>4.1017833129916781</v>
      </c>
      <c r="AB63" s="14">
        <f>Targets_DW[[#This Row],[TWS (km/h)]]*(Targets_DW[[#This Row],[Wing]]/10)^0.1</f>
        <v>8.7319474049431758</v>
      </c>
      <c r="AC63" s="14">
        <f>SQRT(Targets_DW[[#This Row],[TWSTop]]^2+Targets_DW[[#This Row],[BSP (km/h)]]^2+2*Targets_DW[[#This Row],[BSP (km/h)]]*Targets_DW[[#This Row],[TWSTop]]*COS(RADIANS(Targets_DW[[#This Row],[TWA (deg)]]+Targets_DW[[#This Row],[LEEWAY (deg)]])))</f>
        <v>10.575635360750876</v>
      </c>
      <c r="AD63" s="14">
        <f>DEGREES(ASIN(Targets_DW[[#This Row],[TWSTop]]*SIN(RADIANS(Targets_DW[[#This Row],[TWA (deg)]]+Targets_DW[[#This Row],[LEEWAY (deg)]]))/Targets_DW[[#This Row],[AWSTop]]))</f>
        <v>38.545680081618656</v>
      </c>
      <c r="AE63" s="14">
        <f>Targets_DW[[#This Row],[AWA+Leeway Top]]-Targets_DW[[#This Row],[ROT (deg)]]</f>
        <v>8.0456800816186558</v>
      </c>
      <c r="AF63" s="14">
        <f>Targets_DW[[#This Row],[CLEW (deg)]]+Targets_DW[[#This Row],[TWIST (deg)]]</f>
        <v>20</v>
      </c>
      <c r="AG63" s="15">
        <f>Targets_DW[[#This Row],[AWA+Leeway Top]]-Targets_DW[[#This Row],[CA6]]</f>
        <v>18.545680081618656</v>
      </c>
      <c r="AH63" s="16">
        <f>Targets_DW[[#This Row],[AWA+Leeway]]-Targets_DW[[#This Row],[JibLead (deg)]]</f>
        <v>24.101783312991678</v>
      </c>
    </row>
    <row r="64" spans="1:34" x14ac:dyDescent="0.25">
      <c r="A64" s="17" t="s">
        <v>38</v>
      </c>
      <c r="B64" s="18" t="s">
        <v>37</v>
      </c>
      <c r="C64" s="18" t="s">
        <v>36</v>
      </c>
      <c r="D64" s="18">
        <v>24</v>
      </c>
      <c r="E64" s="18" t="str">
        <f t="shared" si="0"/>
        <v>H2_LAB2_LARW2-24m</v>
      </c>
      <c r="F64" s="18">
        <v>10</v>
      </c>
      <c r="G64" s="16">
        <f>ABS(Targets_DW[[#This Row],[BSP (km/h)]]*COS(RADIANS(Targets_DW[[#This Row],[TWA (deg)]]+Targets_DW[[#This Row],[LEEWAY (deg)]])))</f>
        <v>10.036959095382873</v>
      </c>
      <c r="H64" s="16">
        <v>15</v>
      </c>
      <c r="I64" s="16">
        <v>131</v>
      </c>
      <c r="J64" s="16">
        <v>1</v>
      </c>
      <c r="K64" s="16">
        <v>4.5</v>
      </c>
      <c r="L64" s="16">
        <v>-0.5</v>
      </c>
      <c r="M64" s="16">
        <f>Targets_DW[[#This Row],[CANT (deg)]]-Targets_DW[[#This Row],[HEEL (deg)]]</f>
        <v>5</v>
      </c>
      <c r="N64" s="16"/>
      <c r="O64" s="16">
        <v>0</v>
      </c>
      <c r="P64" s="16">
        <v>2.6</v>
      </c>
      <c r="Q64" s="16">
        <v>-0.3</v>
      </c>
      <c r="R64" s="16">
        <v>-35</v>
      </c>
      <c r="S64" s="16">
        <f>Targets_DW[[#This Row],[CLEW (deg)]]-0.5*Targets_DW[[#This Row],[CA1 (deg)]]</f>
        <v>37.5</v>
      </c>
      <c r="T64" s="16">
        <v>20</v>
      </c>
      <c r="U64" s="16">
        <v>8</v>
      </c>
      <c r="V64" s="16">
        <v>60</v>
      </c>
      <c r="W64" s="16">
        <v>10.5</v>
      </c>
      <c r="X64" s="16"/>
      <c r="Y64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11.147233652002749</v>
      </c>
      <c r="Z64" s="16">
        <f>DEGREES(ASIN(Targets_DW[[#This Row],[TWS (km/h)]]*SIN(RADIANS(Targets_DW[[#This Row],[TWA (deg)]]+Targets_DW[[#This Row],[LEEWAY (deg)]]))/Targets_DW[[#This Row],[AWS]]))</f>
        <v>41.81003322206081</v>
      </c>
      <c r="AA64" s="16">
        <f>Targets_DW[[#This Row],[AWA+Leeway]]-Targets_DW[[#This Row],[ROT (deg)]]</f>
        <v>4.3100332220608095</v>
      </c>
      <c r="AB64" s="16">
        <f>Targets_DW[[#This Row],[TWS (km/h)]]*(Targets_DW[[#This Row],[Wing]]/10)^0.1</f>
        <v>10.91493425617897</v>
      </c>
      <c r="AC64" s="16">
        <f>SQRT(Targets_DW[[#This Row],[TWSTop]]^2+Targets_DW[[#This Row],[BSP (km/h)]]^2+2*Targets_DW[[#This Row],[BSP (km/h)]]*Targets_DW[[#This Row],[TWSTop]]*COS(RADIANS(Targets_DW[[#This Row],[TWA (deg)]]+Targets_DW[[#This Row],[LEEWAY (deg)]])))</f>
        <v>11.181694527243444</v>
      </c>
      <c r="AD64" s="16">
        <f>DEGREES(ASIN(Targets_DW[[#This Row],[TWSTop]]*SIN(RADIANS(Targets_DW[[#This Row],[TWA (deg)]]+Targets_DW[[#This Row],[LEEWAY (deg)]]))/Targets_DW[[#This Row],[AWSTop]]))</f>
        <v>46.503441280773735</v>
      </c>
      <c r="AE64" s="16">
        <f>Targets_DW[[#This Row],[AWA+Leeway Top]]-Targets_DW[[#This Row],[ROT (deg)]]</f>
        <v>9.0034412807737354</v>
      </c>
      <c r="AF64" s="16">
        <f>Targets_DW[[#This Row],[CLEW (deg)]]+Targets_DW[[#This Row],[TWIST (deg)]]</f>
        <v>28</v>
      </c>
      <c r="AG64" s="19">
        <f>Targets_DW[[#This Row],[AWA+Leeway Top]]-Targets_DW[[#This Row],[CA6]]</f>
        <v>18.503441280773735</v>
      </c>
      <c r="AH64" s="16">
        <f>Targets_DW[[#This Row],[AWA+Leeway]]-Targets_DW[[#This Row],[JibLead (deg)]]</f>
        <v>31.31003322206081</v>
      </c>
    </row>
    <row r="65" spans="1:34" x14ac:dyDescent="0.25">
      <c r="A65" s="17" t="s">
        <v>38</v>
      </c>
      <c r="B65" s="18" t="s">
        <v>37</v>
      </c>
      <c r="C65" s="18" t="s">
        <v>36</v>
      </c>
      <c r="D65" s="18">
        <v>24</v>
      </c>
      <c r="E65" s="18" t="str">
        <f t="shared" si="0"/>
        <v>H2_LAB2_LARW2-24m</v>
      </c>
      <c r="F65" s="18">
        <v>12</v>
      </c>
      <c r="G65" s="16">
        <f>ABS(Targets_DW[[#This Row],[BSP (km/h)]]*COS(RADIANS(Targets_DW[[#This Row],[TWA (deg)]]+Targets_DW[[#This Row],[LEEWAY (deg)]])))</f>
        <v>11.593972121062473</v>
      </c>
      <c r="H65" s="16">
        <v>17</v>
      </c>
      <c r="I65" s="16">
        <v>132</v>
      </c>
      <c r="J65" s="16">
        <v>1</v>
      </c>
      <c r="K65" s="16">
        <v>4.5</v>
      </c>
      <c r="L65" s="16">
        <v>-0.6</v>
      </c>
      <c r="M65" s="16">
        <f>Targets_DW[[#This Row],[CANT (deg)]]-Targets_DW[[#This Row],[HEEL (deg)]]</f>
        <v>5.0999999999999996</v>
      </c>
      <c r="N65" s="16"/>
      <c r="O65" s="16">
        <v>0</v>
      </c>
      <c r="P65" s="16">
        <v>2.6</v>
      </c>
      <c r="Q65" s="16">
        <v>-0.3</v>
      </c>
      <c r="R65" s="16">
        <v>-35</v>
      </c>
      <c r="S65" s="16">
        <f>Targets_DW[[#This Row],[CLEW (deg)]]-0.5*Targets_DW[[#This Row],[CA1 (deg)]]</f>
        <v>40.5</v>
      </c>
      <c r="T65" s="16">
        <v>23</v>
      </c>
      <c r="U65" s="16">
        <v>8.4</v>
      </c>
      <c r="V65" s="16">
        <v>70</v>
      </c>
      <c r="W65" s="16">
        <v>10.5</v>
      </c>
      <c r="X65" s="16"/>
      <c r="Y65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12.439641035596674</v>
      </c>
      <c r="Z65" s="16">
        <f>DEGREES(ASIN(Targets_DW[[#This Row],[TWS (km/h)]]*SIN(RADIANS(Targets_DW[[#This Row],[TWA (deg)]]+Targets_DW[[#This Row],[LEEWAY (deg)]]))/Targets_DW[[#This Row],[AWS]]))</f>
        <v>44.870457229343252</v>
      </c>
      <c r="AA65" s="16">
        <f>Targets_DW[[#This Row],[AWA+Leeway]]-Targets_DW[[#This Row],[ROT (deg)]]</f>
        <v>4.370457229343252</v>
      </c>
      <c r="AB65" s="16">
        <f>Targets_DW[[#This Row],[TWS (km/h)]]*(Targets_DW[[#This Row],[Wing]]/10)^0.1</f>
        <v>13.097921107414763</v>
      </c>
      <c r="AC65" s="16">
        <f>SQRT(Targets_DW[[#This Row],[TWSTop]]^2+Targets_DW[[#This Row],[BSP (km/h)]]^2+2*Targets_DW[[#This Row],[BSP (km/h)]]*Targets_DW[[#This Row],[TWSTop]]*COS(RADIANS(Targets_DW[[#This Row],[TWA (deg)]]+Targets_DW[[#This Row],[LEEWAY (deg)]])))</f>
        <v>12.523644557778548</v>
      </c>
      <c r="AD65" s="16">
        <f>DEGREES(ASIN(Targets_DW[[#This Row],[TWSTop]]*SIN(RADIANS(Targets_DW[[#This Row],[TWA (deg)]]+Targets_DW[[#This Row],[LEEWAY (deg)]]))/Targets_DW[[#This Row],[AWSTop]]))</f>
        <v>49.897225384499983</v>
      </c>
      <c r="AE65" s="16">
        <f>Targets_DW[[#This Row],[AWA+Leeway Top]]-Targets_DW[[#This Row],[ROT (deg)]]</f>
        <v>9.3972253844999827</v>
      </c>
      <c r="AF65" s="16">
        <f>Targets_DW[[#This Row],[CLEW (deg)]]+Targets_DW[[#This Row],[TWIST (deg)]]</f>
        <v>31.4</v>
      </c>
      <c r="AG65" s="19">
        <f>Targets_DW[[#This Row],[AWA+Leeway Top]]-Targets_DW[[#This Row],[CA6]]</f>
        <v>18.497225384499984</v>
      </c>
      <c r="AH65" s="16">
        <f>Targets_DW[[#This Row],[AWA+Leeway]]-Targets_DW[[#This Row],[JibLead (deg)]]</f>
        <v>34.370457229343252</v>
      </c>
    </row>
    <row r="66" spans="1:34" x14ac:dyDescent="0.25">
      <c r="A66" s="17" t="s">
        <v>38</v>
      </c>
      <c r="B66" s="18" t="s">
        <v>37</v>
      </c>
      <c r="C66" s="18" t="s">
        <v>36</v>
      </c>
      <c r="D66" s="18">
        <v>24</v>
      </c>
      <c r="E66" s="18" t="str">
        <f t="shared" ref="E66" si="2">A66 &amp; "_" &amp; B66 &amp; "_" &amp; C66 &amp; "-" &amp; D66 &amp; "m"</f>
        <v>H2_LAB2_LARW2-24m</v>
      </c>
      <c r="F66" s="18">
        <v>14</v>
      </c>
      <c r="G66" s="16">
        <f>ABS(Targets_DW[[#This Row],[BSP (km/h)]]*COS(RADIANS(Targets_DW[[#This Row],[TWA (deg)]]+Targets_DW[[#This Row],[LEEWAY (deg)]])))</f>
        <v>13.19850903872095</v>
      </c>
      <c r="H66" s="16">
        <v>19</v>
      </c>
      <c r="I66" s="16">
        <v>133</v>
      </c>
      <c r="J66" s="16">
        <v>1</v>
      </c>
      <c r="K66" s="16">
        <v>4.5</v>
      </c>
      <c r="L66" s="16">
        <v>-0.8</v>
      </c>
      <c r="M66" s="16">
        <f>Targets_DW[[#This Row],[CANT (deg)]]-Targets_DW[[#This Row],[HEEL (deg)]]</f>
        <v>5.3</v>
      </c>
      <c r="N66" s="16"/>
      <c r="O66" s="16">
        <v>0</v>
      </c>
      <c r="P66" s="16">
        <v>2.6</v>
      </c>
      <c r="Q66" s="16">
        <v>-0.3</v>
      </c>
      <c r="R66" s="16">
        <v>-35</v>
      </c>
      <c r="S66" s="16">
        <f>Targets_DW[[#This Row],[CLEW (deg)]]-0.5*Targets_DW[[#This Row],[CA1 (deg)]]</f>
        <v>42.5</v>
      </c>
      <c r="T66" s="16">
        <v>25</v>
      </c>
      <c r="U66" s="16">
        <v>9.1999999999999993</v>
      </c>
      <c r="V66" s="16">
        <v>77</v>
      </c>
      <c r="W66" s="16">
        <v>10.5</v>
      </c>
      <c r="X66" s="16"/>
      <c r="Y66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13.690936670506273</v>
      </c>
      <c r="Z66" s="16">
        <f>DEGREES(ASIN(Targets_DW[[#This Row],[TWS (km/h)]]*SIN(RADIANS(Targets_DW[[#This Row],[TWA (deg)]]+Targets_DW[[#This Row],[LEEWAY (deg)]]))/Targets_DW[[#This Row],[AWS]]))</f>
        <v>47.356112236911819</v>
      </c>
      <c r="AA66" s="16">
        <f>Targets_DW[[#This Row],[AWA+Leeway]]-Targets_DW[[#This Row],[ROT (deg)]]</f>
        <v>4.8561122369118195</v>
      </c>
      <c r="AB66" s="16">
        <f>Targets_DW[[#This Row],[TWS (km/h)]]*(Targets_DW[[#This Row],[Wing]]/10)^0.1</f>
        <v>15.280907958650557</v>
      </c>
      <c r="AC66" s="16">
        <f>SQRT(Targets_DW[[#This Row],[TWSTop]]^2+Targets_DW[[#This Row],[BSP (km/h)]]^2+2*Targets_DW[[#This Row],[BSP (km/h)]]*Targets_DW[[#This Row],[TWSTop]]*COS(RADIANS(Targets_DW[[#This Row],[TWA (deg)]]+Targets_DW[[#This Row],[LEEWAY (deg)]])))</f>
        <v>13.825185149448284</v>
      </c>
      <c r="AD66" s="16">
        <f>DEGREES(ASIN(Targets_DW[[#This Row],[TWSTop]]*SIN(RADIANS(Targets_DW[[#This Row],[TWA (deg)]]+Targets_DW[[#This Row],[LEEWAY (deg)]]))/Targets_DW[[#This Row],[AWSTop]]))</f>
        <v>52.663065812273445</v>
      </c>
      <c r="AE66" s="16">
        <f>Targets_DW[[#This Row],[AWA+Leeway Top]]-Targets_DW[[#This Row],[ROT (deg)]]</f>
        <v>10.163065812273445</v>
      </c>
      <c r="AF66" s="16">
        <f>Targets_DW[[#This Row],[CLEW (deg)]]+Targets_DW[[#This Row],[TWIST (deg)]]</f>
        <v>34.200000000000003</v>
      </c>
      <c r="AG66" s="19">
        <f>Targets_DW[[#This Row],[AWA+Leeway Top]]-Targets_DW[[#This Row],[CA6]]</f>
        <v>18.463065812273442</v>
      </c>
      <c r="AH66" s="16">
        <f>Targets_DW[[#This Row],[AWA+Leeway]]-Targets_DW[[#This Row],[JibLead (deg)]]</f>
        <v>36.856112236911819</v>
      </c>
    </row>
    <row r="67" spans="1:34" x14ac:dyDescent="0.25">
      <c r="A67" s="20" t="s">
        <v>40</v>
      </c>
      <c r="B67" s="21" t="s">
        <v>37</v>
      </c>
      <c r="C67" s="21" t="s">
        <v>36</v>
      </c>
      <c r="D67" s="21">
        <v>24</v>
      </c>
      <c r="E67" s="21" t="str">
        <f t="shared" ref="E67:E83" si="3">A67 &amp; "_" &amp; B67 &amp; "_" &amp; C67 &amp; "-" &amp; D67 &amp; "m"</f>
        <v>H1-2B_LAB2_LARW2-24m</v>
      </c>
      <c r="F67" s="21">
        <v>12</v>
      </c>
      <c r="G67" s="22">
        <f>ABS(Targets_DW[[#This Row],[BSP (km/h)]]*COS(RADIANS(Targets_DW[[#This Row],[TWA (deg)]]+Targets_DW[[#This Row],[LEEWAY (deg)]])))</f>
        <v>11.122767243618894</v>
      </c>
      <c r="H67" s="22">
        <v>24.5</v>
      </c>
      <c r="I67" s="22">
        <v>114</v>
      </c>
      <c r="J67" s="22">
        <v>3</v>
      </c>
      <c r="K67" s="22">
        <v>0</v>
      </c>
      <c r="L67" s="22">
        <v>-8</v>
      </c>
      <c r="M67" s="22">
        <f>Targets_DW[[#This Row],[CANT (deg)]]-Targets_DW[[#This Row],[HEEL (deg)]]</f>
        <v>8</v>
      </c>
      <c r="N67" s="22"/>
      <c r="O67" s="22">
        <v>0</v>
      </c>
      <c r="P67" s="22">
        <v>3</v>
      </c>
      <c r="Q67" s="22">
        <v>-0.5</v>
      </c>
      <c r="R67" s="22">
        <v>-35</v>
      </c>
      <c r="S67" s="22">
        <f>Targets_DW[[#This Row],[CLEW (deg)]]-0.5*Targets_DW[[#This Row],[CA1 (deg)]]</f>
        <v>19.5</v>
      </c>
      <c r="T67" s="22">
        <v>2</v>
      </c>
      <c r="U67" s="22">
        <v>10.199999999999999</v>
      </c>
      <c r="V67" s="22">
        <v>100</v>
      </c>
      <c r="W67" s="22">
        <v>10.5</v>
      </c>
      <c r="X67" s="22"/>
      <c r="Y67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21.847278689876838</v>
      </c>
      <c r="Z67" s="22">
        <f>DEGREES(ASIN(Targets_DW[[#This Row],[TWS (km/h)]]*SIN(RADIANS(Targets_DW[[#This Row],[TWA (deg)]]+Targets_DW[[#This Row],[LEEWAY (deg)]]))/Targets_DW[[#This Row],[AWS]]))</f>
        <v>29.301213388667112</v>
      </c>
      <c r="AA67" s="22">
        <f>Targets_DW[[#This Row],[AWA+Leeway]]-Targets_DW[[#This Row],[ROT (deg)]]</f>
        <v>9.8012133886671116</v>
      </c>
      <c r="AB67" s="22">
        <f>Targets_DW[[#This Row],[TWS (km/h)]]*(Targets_DW[[#This Row],[Wing]]/10)^0.1</f>
        <v>13.097921107414763</v>
      </c>
      <c r="AC67" s="22">
        <f>SQRT(Targets_DW[[#This Row],[TWSTop]]^2+Targets_DW[[#This Row],[BSP (km/h)]]^2+2*Targets_DW[[#This Row],[BSP (km/h)]]*Targets_DW[[#This Row],[TWSTop]]*COS(RADIANS(Targets_DW[[#This Row],[TWA (deg)]]+Targets_DW[[#This Row],[LEEWAY (deg)]])))</f>
        <v>21.918833947770725</v>
      </c>
      <c r="AD67" s="22">
        <f>DEGREES(ASIN(Targets_DW[[#This Row],[TWSTop]]*SIN(RADIANS(Targets_DW[[#This Row],[TWA (deg)]]+Targets_DW[[#This Row],[LEEWAY (deg)]]))/Targets_DW[[#This Row],[AWSTop]]))</f>
        <v>32.170060633087807</v>
      </c>
      <c r="AE67" s="22">
        <f>Targets_DW[[#This Row],[AWA+Leeway Top]]-Targets_DW[[#This Row],[ROT (deg)]]</f>
        <v>12.670060633087807</v>
      </c>
      <c r="AF67" s="22">
        <f>Targets_DW[[#This Row],[CLEW (deg)]]+Targets_DW[[#This Row],[TWIST (deg)]]</f>
        <v>12.2</v>
      </c>
      <c r="AG67" s="23">
        <f>Targets_DW[[#This Row],[AWA+Leeway Top]]-Targets_DW[[#This Row],[CA6]]</f>
        <v>19.970060633087808</v>
      </c>
      <c r="AH67" s="22">
        <f>Targets_DW[[#This Row],[AWA+Leeway]]-Targets_DW[[#This Row],[JibLead (deg)]]</f>
        <v>18.801213388667112</v>
      </c>
    </row>
    <row r="68" spans="1:34" x14ac:dyDescent="0.25">
      <c r="A68" s="20" t="s">
        <v>40</v>
      </c>
      <c r="B68" s="21" t="s">
        <v>37</v>
      </c>
      <c r="C68" s="21" t="s">
        <v>36</v>
      </c>
      <c r="D68" s="21">
        <v>24</v>
      </c>
      <c r="E68" s="21" t="str">
        <f t="shared" si="3"/>
        <v>H1-2B_LAB2_LARW2-24m</v>
      </c>
      <c r="F68" s="21">
        <v>13</v>
      </c>
      <c r="G68" s="22">
        <f>ABS(Targets_DW[[#This Row],[BSP (km/h)]]*COS(RADIANS(Targets_DW[[#This Row],[TWA (deg)]]+Targets_DW[[#This Row],[LEEWAY (deg)]])))</f>
        <v>12.310589002586674</v>
      </c>
      <c r="H68" s="22">
        <v>25</v>
      </c>
      <c r="I68" s="22">
        <v>116.5</v>
      </c>
      <c r="J68" s="22">
        <v>3</v>
      </c>
      <c r="K68" s="22">
        <v>0</v>
      </c>
      <c r="L68" s="22">
        <v>-8</v>
      </c>
      <c r="M68" s="22">
        <f>Targets_DW[[#This Row],[CANT (deg)]]-Targets_DW[[#This Row],[HEEL (deg)]]</f>
        <v>8</v>
      </c>
      <c r="N68" s="22"/>
      <c r="O68" s="22">
        <v>0</v>
      </c>
      <c r="P68" s="22">
        <v>3</v>
      </c>
      <c r="Q68" s="22">
        <v>-0.5</v>
      </c>
      <c r="R68" s="22">
        <v>-35</v>
      </c>
      <c r="S68" s="22">
        <f>Targets_DW[[#This Row],[CLEW (deg)]]-0.5*Targets_DW[[#This Row],[CA1 (deg)]]</f>
        <v>21.5</v>
      </c>
      <c r="T68" s="22">
        <v>4</v>
      </c>
      <c r="U68" s="22">
        <v>10.4</v>
      </c>
      <c r="V68" s="22">
        <v>100</v>
      </c>
      <c r="W68" s="22">
        <v>10.5</v>
      </c>
      <c r="X68" s="22"/>
      <c r="Y68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21.769811343526762</v>
      </c>
      <c r="Z68" s="22">
        <f>DEGREES(ASIN(Targets_DW[[#This Row],[TWS (km/h)]]*SIN(RADIANS(Targets_DW[[#This Row],[TWA (deg)]]+Targets_DW[[#This Row],[LEEWAY (deg)]]))/Targets_DW[[#This Row],[AWS]]))</f>
        <v>31.314758299058749</v>
      </c>
      <c r="AA68" s="22">
        <f>Targets_DW[[#This Row],[AWA+Leeway]]-Targets_DW[[#This Row],[ROT (deg)]]</f>
        <v>9.8147582990587487</v>
      </c>
      <c r="AB68" s="22">
        <f>Targets_DW[[#This Row],[TWS (km/h)]]*(Targets_DW[[#This Row],[Wing]]/10)^0.1</f>
        <v>14.189414533032661</v>
      </c>
      <c r="AC68" s="22">
        <f>SQRT(Targets_DW[[#This Row],[TWSTop]]^2+Targets_DW[[#This Row],[BSP (km/h)]]^2+2*Targets_DW[[#This Row],[BSP (km/h)]]*Targets_DW[[#This Row],[TWSTop]]*COS(RADIANS(Targets_DW[[#This Row],[TWA (deg)]]+Targets_DW[[#This Row],[LEEWAY (deg)]])))</f>
        <v>21.839857686881743</v>
      </c>
      <c r="AD68" s="22">
        <f>DEGREES(ASIN(Targets_DW[[#This Row],[TWSTop]]*SIN(RADIANS(Targets_DW[[#This Row],[TWA (deg)]]+Targets_DW[[#This Row],[LEEWAY (deg)]]))/Targets_DW[[#This Row],[AWSTop]]))</f>
        <v>34.43510528177444</v>
      </c>
      <c r="AE68" s="22">
        <f>Targets_DW[[#This Row],[AWA+Leeway Top]]-Targets_DW[[#This Row],[ROT (deg)]]</f>
        <v>12.93510528177444</v>
      </c>
      <c r="AF68" s="22">
        <f>Targets_DW[[#This Row],[CLEW (deg)]]+Targets_DW[[#This Row],[TWIST (deg)]]</f>
        <v>14.4</v>
      </c>
      <c r="AG68" s="23">
        <f>Targets_DW[[#This Row],[AWA+Leeway Top]]-Targets_DW[[#This Row],[CA6]]</f>
        <v>20.035105281774442</v>
      </c>
      <c r="AH68" s="22">
        <f>Targets_DW[[#This Row],[AWA+Leeway]]-Targets_DW[[#This Row],[JibLead (deg)]]</f>
        <v>20.814758299058749</v>
      </c>
    </row>
    <row r="69" spans="1:34" x14ac:dyDescent="0.25">
      <c r="A69" s="20" t="s">
        <v>40</v>
      </c>
      <c r="B69" s="21" t="s">
        <v>37</v>
      </c>
      <c r="C69" s="21" t="s">
        <v>36</v>
      </c>
      <c r="D69" s="21">
        <v>24</v>
      </c>
      <c r="E69" s="21" t="str">
        <f t="shared" si="3"/>
        <v>H1-2B_LAB2_LARW2-24m</v>
      </c>
      <c r="F69" s="21">
        <v>14</v>
      </c>
      <c r="G69" s="22">
        <f>ABS(Targets_DW[[#This Row],[BSP (km/h)]]*COS(RADIANS(Targets_DW[[#This Row],[TWA (deg)]]+Targets_DW[[#This Row],[LEEWAY (deg)]])))</f>
        <v>13.081967102715378</v>
      </c>
      <c r="H69" s="22">
        <v>25.4</v>
      </c>
      <c r="I69" s="22">
        <v>118</v>
      </c>
      <c r="J69" s="22">
        <v>3</v>
      </c>
      <c r="K69" s="22">
        <v>0</v>
      </c>
      <c r="L69" s="22">
        <v>-8</v>
      </c>
      <c r="M69" s="22">
        <f>Targets_DW[[#This Row],[CANT (deg)]]-Targets_DW[[#This Row],[HEEL (deg)]]</f>
        <v>8</v>
      </c>
      <c r="N69" s="22"/>
      <c r="O69" s="22">
        <v>0</v>
      </c>
      <c r="P69" s="22">
        <v>3</v>
      </c>
      <c r="Q69" s="22">
        <v>-0.5</v>
      </c>
      <c r="R69" s="22">
        <v>-35</v>
      </c>
      <c r="S69" s="22">
        <f>Targets_DW[[#This Row],[CLEW (deg)]]-0.5*Targets_DW[[#This Row],[CA1 (deg)]]</f>
        <v>23.5</v>
      </c>
      <c r="T69" s="22">
        <v>6</v>
      </c>
      <c r="U69" s="22">
        <v>10.8</v>
      </c>
      <c r="V69" s="22">
        <v>100</v>
      </c>
      <c r="W69" s="22">
        <v>10.5</v>
      </c>
      <c r="X69" s="22"/>
      <c r="Y69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21.791395575409332</v>
      </c>
      <c r="Z69" s="22">
        <f>DEGREES(ASIN(Targets_DW[[#This Row],[TWS (km/h)]]*SIN(RADIANS(Targets_DW[[#This Row],[TWA (deg)]]+Targets_DW[[#This Row],[LEEWAY (deg)]]))/Targets_DW[[#This Row],[AWS]]))</f>
        <v>33.414484263899176</v>
      </c>
      <c r="AA69" s="22">
        <f>Targets_DW[[#This Row],[AWA+Leeway]]-Targets_DW[[#This Row],[ROT (deg)]]</f>
        <v>9.9144842638991761</v>
      </c>
      <c r="AB69" s="22">
        <f>Targets_DW[[#This Row],[TWS (km/h)]]*(Targets_DW[[#This Row],[Wing]]/10)^0.1</f>
        <v>15.280907958650557</v>
      </c>
      <c r="AC69" s="22">
        <f>SQRT(Targets_DW[[#This Row],[TWSTop]]^2+Targets_DW[[#This Row],[BSP (km/h)]]^2+2*Targets_DW[[#This Row],[BSP (km/h)]]*Targets_DW[[#This Row],[TWSTop]]*COS(RADIANS(Targets_DW[[#This Row],[TWA (deg)]]+Targets_DW[[#This Row],[LEEWAY (deg)]])))</f>
        <v>21.882812378928207</v>
      </c>
      <c r="AD69" s="22">
        <f>DEGREES(ASIN(Targets_DW[[#This Row],[TWSTop]]*SIN(RADIANS(Targets_DW[[#This Row],[TWA (deg)]]+Targets_DW[[#This Row],[LEEWAY (deg)]]))/Targets_DW[[#This Row],[AWSTop]]))</f>
        <v>36.767221858072887</v>
      </c>
      <c r="AE69" s="22">
        <f>Targets_DW[[#This Row],[AWA+Leeway Top]]-Targets_DW[[#This Row],[ROT (deg)]]</f>
        <v>13.267221858072887</v>
      </c>
      <c r="AF69" s="22">
        <f>Targets_DW[[#This Row],[CLEW (deg)]]+Targets_DW[[#This Row],[TWIST (deg)]]</f>
        <v>16.8</v>
      </c>
      <c r="AG69" s="23">
        <f>Targets_DW[[#This Row],[AWA+Leeway Top]]-Targets_DW[[#This Row],[CA6]]</f>
        <v>19.967221858072886</v>
      </c>
      <c r="AH69" s="22">
        <f>Targets_DW[[#This Row],[AWA+Leeway]]-Targets_DW[[#This Row],[JibLead (deg)]]</f>
        <v>22.914484263899176</v>
      </c>
    </row>
    <row r="70" spans="1:34" ht="15.75" thickBot="1" x14ac:dyDescent="0.3">
      <c r="A70" s="24" t="s">
        <v>41</v>
      </c>
      <c r="B70" s="25" t="s">
        <v>37</v>
      </c>
      <c r="C70" s="25" t="s">
        <v>36</v>
      </c>
      <c r="D70" s="25">
        <v>24</v>
      </c>
      <c r="E70" s="25" t="str">
        <f t="shared" si="3"/>
        <v>H1_LAB2_LARW2-24m</v>
      </c>
      <c r="F70" s="25">
        <v>14</v>
      </c>
      <c r="G70" s="26">
        <f>ABS(Targets_DW[[#This Row],[BSP (km/h)]]*COS(RADIANS(Targets_DW[[#This Row],[TWA (deg)]]+Targets_DW[[#This Row],[LEEWAY (deg)]])))</f>
        <v>10.320996946904648</v>
      </c>
      <c r="H70" s="26">
        <v>28.8</v>
      </c>
      <c r="I70" s="26">
        <v>109</v>
      </c>
      <c r="J70" s="26">
        <v>2</v>
      </c>
      <c r="K70" s="26">
        <v>-1</v>
      </c>
      <c r="L70" s="26">
        <v>-10</v>
      </c>
      <c r="M70" s="26">
        <f>Targets_DW[[#This Row],[CANT (deg)]]-Targets_DW[[#This Row],[HEEL (deg)]]</f>
        <v>9</v>
      </c>
      <c r="N70" s="26"/>
      <c r="O70" s="26">
        <v>0</v>
      </c>
      <c r="P70" s="26">
        <v>3</v>
      </c>
      <c r="Q70" s="26">
        <v>-0.8</v>
      </c>
      <c r="R70" s="26">
        <v>-35</v>
      </c>
      <c r="S70" s="26">
        <f>Targets_DW[[#This Row],[CLEW (deg)]]-0.5*Targets_DW[[#This Row],[CA1 (deg)]]</f>
        <v>18.5</v>
      </c>
      <c r="T70" s="26">
        <v>1</v>
      </c>
      <c r="U70" s="26">
        <v>11.5</v>
      </c>
      <c r="V70" s="26">
        <v>140</v>
      </c>
      <c r="W70" s="26">
        <v>10.5</v>
      </c>
      <c r="X70" s="26"/>
      <c r="Y70" s="26">
        <f>SQRT(Targets_DW[[#This Row],[TWS (km/h)]]^2+Targets_DW[[#This Row],[BSP (km/h)]]^2+2*Targets_DW[[#This Row],[TWS (km/h)]]*Targets_DW[[#This Row],[BSP (km/h)]]*COS(RADIANS(Targets_DW[[#This Row],[TWA (deg)]]+Targets_DW[[#This Row],[LEEWAY (deg)]])))</f>
        <v>27.137650699474154</v>
      </c>
      <c r="Z70" s="26">
        <f>DEGREES(ASIN(Targets_DW[[#This Row],[TWS (km/h)]]*SIN(RADIANS(Targets_DW[[#This Row],[TWA (deg)]]+Targets_DW[[#This Row],[LEEWAY (deg)]]))/Targets_DW[[#This Row],[AWS]]))</f>
        <v>28.791478684254937</v>
      </c>
      <c r="AA70" s="26">
        <f>Targets_DW[[#This Row],[AWA+Leeway]]-Targets_DW[[#This Row],[ROT (deg)]]</f>
        <v>10.291478684254937</v>
      </c>
      <c r="AB70" s="26">
        <f>Targets_DW[[#This Row],[TWS (km/h)]]*(Targets_DW[[#This Row],[Wing]]/10)^0.1</f>
        <v>15.280907958650557</v>
      </c>
      <c r="AC70" s="26">
        <f>SQRT(Targets_DW[[#This Row],[TWSTop]]^2+Targets_DW[[#This Row],[BSP (km/h)]]^2+2*Targets_DW[[#This Row],[BSP (km/h)]]*Targets_DW[[#This Row],[TWSTop]]*COS(RADIANS(Targets_DW[[#This Row],[TWA (deg)]]+Targets_DW[[#This Row],[LEEWAY (deg)]])))</f>
        <v>27.34077064141432</v>
      </c>
      <c r="AD70" s="26">
        <f>DEGREES(ASIN(Targets_DW[[#This Row],[TWSTop]]*SIN(RADIANS(Targets_DW[[#This Row],[TWA (deg)]]+Targets_DW[[#This Row],[LEEWAY (deg)]]))/Targets_DW[[#This Row],[AWSTop]]))</f>
        <v>31.451945569117299</v>
      </c>
      <c r="AE70" s="26">
        <f>Targets_DW[[#This Row],[AWA+Leeway Top]]-Targets_DW[[#This Row],[ROT (deg)]]</f>
        <v>12.951945569117299</v>
      </c>
      <c r="AF70" s="26">
        <f>Targets_DW[[#This Row],[CLEW (deg)]]+Targets_DW[[#This Row],[TWIST (deg)]]</f>
        <v>12.5</v>
      </c>
      <c r="AG70" s="27">
        <f>Targets_DW[[#This Row],[AWA+Leeway Top]]-Targets_DW[[#This Row],[CA6]]</f>
        <v>18.951945569117299</v>
      </c>
      <c r="AH70" s="26">
        <f>Targets_DW[[#This Row],[AWA+Leeway]]-Targets_DW[[#This Row],[JibLead (deg)]]</f>
        <v>18.291478684254937</v>
      </c>
    </row>
    <row r="71" spans="1:34" x14ac:dyDescent="0.25">
      <c r="A71" s="12" t="s">
        <v>38</v>
      </c>
      <c r="B71" s="13" t="s">
        <v>37</v>
      </c>
      <c r="C71" s="13" t="s">
        <v>36</v>
      </c>
      <c r="D71" s="13">
        <v>27.5</v>
      </c>
      <c r="E71" s="13" t="str">
        <f t="shared" si="3"/>
        <v>H2_LAB2_LARW2-27.5m</v>
      </c>
      <c r="F71" s="13">
        <v>8</v>
      </c>
      <c r="G71" s="14">
        <f>ABS(Targets_DW[[#This Row],[BSP (km/h)]]*COS(RADIANS(Targets_DW[[#This Row],[TWA (deg)]]+Targets_DW[[#This Row],[LEEWAY (deg)]])))</f>
        <v>7.3473156536559125</v>
      </c>
      <c r="H71" s="14">
        <v>12.5</v>
      </c>
      <c r="I71" s="14">
        <v>125</v>
      </c>
      <c r="J71" s="14">
        <v>1</v>
      </c>
      <c r="K71" s="14">
        <v>4.5</v>
      </c>
      <c r="L71" s="14">
        <v>-0.4</v>
      </c>
      <c r="M71" s="14">
        <f>Targets_DW[[#This Row],[CANT (deg)]]-Targets_DW[[#This Row],[HEEL (deg)]]</f>
        <v>4.9000000000000004</v>
      </c>
      <c r="N71" s="14"/>
      <c r="O71" s="14">
        <v>0</v>
      </c>
      <c r="P71" s="14">
        <v>2.7</v>
      </c>
      <c r="Q71" s="14">
        <v>-0.3</v>
      </c>
      <c r="R71" s="14">
        <v>-35</v>
      </c>
      <c r="S71" s="14">
        <f>Targets_DW[[#This Row],[CLEW (deg)]]-0.5*Targets_DW[[#This Row],[CA1 (deg)]]</f>
        <v>29.5</v>
      </c>
      <c r="T71" s="14">
        <v>12</v>
      </c>
      <c r="U71" s="14">
        <v>10</v>
      </c>
      <c r="V71" s="14"/>
      <c r="W71" s="14">
        <v>10.5</v>
      </c>
      <c r="X71" s="14"/>
      <c r="Y71" s="14">
        <f>SQRT(Targets_DW[[#This Row],[TWS (km/h)]]^2+Targets_DW[[#This Row],[BSP (km/h)]]^2+2*Targets_DW[[#This Row],[TWS (km/h)]]*Targets_DW[[#This Row],[BSP (km/h)]]*COS(RADIANS(Targets_DW[[#This Row],[TWA (deg)]]+Targets_DW[[#This Row],[LEEWAY (deg)]])))</f>
        <v>10.133752984038312</v>
      </c>
      <c r="Z71" s="14">
        <f>DEGREES(ASIN(Targets_DW[[#This Row],[TWS (km/h)]]*SIN(RADIANS(Targets_DW[[#This Row],[TWA (deg)]]+Targets_DW[[#This Row],[LEEWAY (deg)]]))/Targets_DW[[#This Row],[AWS]]))</f>
        <v>39.692803800510454</v>
      </c>
      <c r="AA71" s="14">
        <f>Targets_DW[[#This Row],[AWA+Leeway]]-Targets_DW[[#This Row],[ROT (deg)]]</f>
        <v>10.192803800510454</v>
      </c>
      <c r="AB71" s="14">
        <f>Targets_DW[[#This Row],[TWS (km/h)]]*(Targets_DW[[#This Row],[Wing]]/10)^0.1</f>
        <v>8.8516300884816452</v>
      </c>
      <c r="AC71" s="14">
        <f>SQRT(Targets_DW[[#This Row],[TWSTop]]^2+Targets_DW[[#This Row],[BSP (km/h)]]^2+2*Targets_DW[[#This Row],[BSP (km/h)]]*Targets_DW[[#This Row],[TWSTop]]*COS(RADIANS(Targets_DW[[#This Row],[TWA (deg)]]+Targets_DW[[#This Row],[LEEWAY (deg)]])))</f>
        <v>10.223987216559294</v>
      </c>
      <c r="AD71" s="14">
        <f>DEGREES(ASIN(Targets_DW[[#This Row],[TWSTop]]*SIN(RADIANS(Targets_DW[[#This Row],[TWA (deg)]]+Targets_DW[[#This Row],[LEEWAY (deg)]]))/Targets_DW[[#This Row],[AWSTop]]))</f>
        <v>44.460977680051258</v>
      </c>
      <c r="AE71" s="14">
        <f>Targets_DW[[#This Row],[AWA+Leeway Top]]-Targets_DW[[#This Row],[ROT (deg)]]</f>
        <v>14.960977680051258</v>
      </c>
      <c r="AF71" s="14">
        <f>Targets_DW[[#This Row],[CLEW (deg)]]+Targets_DW[[#This Row],[TWIST (deg)]]</f>
        <v>22</v>
      </c>
      <c r="AG71" s="15">
        <f>Targets_DW[[#This Row],[AWA+Leeway Top]]-Targets_DW[[#This Row],[CA6]]</f>
        <v>22.460977680051258</v>
      </c>
      <c r="AH71" s="16">
        <f>Targets_DW[[#This Row],[AWA+Leeway]]-Targets_DW[[#This Row],[JibLead (deg)]]</f>
        <v>29.192803800510454</v>
      </c>
    </row>
    <row r="72" spans="1:34" x14ac:dyDescent="0.25">
      <c r="A72" s="17" t="s">
        <v>38</v>
      </c>
      <c r="B72" s="18" t="s">
        <v>37</v>
      </c>
      <c r="C72" s="18" t="s">
        <v>36</v>
      </c>
      <c r="D72" s="18">
        <v>27.5</v>
      </c>
      <c r="E72" s="18" t="str">
        <f t="shared" si="3"/>
        <v>H2_LAB2_LARW2-27.5m</v>
      </c>
      <c r="F72" s="18">
        <v>9</v>
      </c>
      <c r="G72" s="16">
        <f>ABS(Targets_DW[[#This Row],[BSP (km/h)]]*COS(RADIANS(Targets_DW[[#This Row],[TWA (deg)]]+Targets_DW[[#This Row],[LEEWAY (deg)]])))</f>
        <v>8.4944678518713719</v>
      </c>
      <c r="H72" s="16">
        <v>13</v>
      </c>
      <c r="I72" s="16">
        <v>130</v>
      </c>
      <c r="J72" s="16">
        <v>0.8</v>
      </c>
      <c r="K72" s="16">
        <v>4.5</v>
      </c>
      <c r="L72" s="16">
        <v>-0.5</v>
      </c>
      <c r="M72" s="16">
        <f>Targets_DW[[#This Row],[CANT (deg)]]-Targets_DW[[#This Row],[HEEL (deg)]]</f>
        <v>5</v>
      </c>
      <c r="N72" s="16"/>
      <c r="O72" s="16">
        <v>0</v>
      </c>
      <c r="P72" s="16">
        <v>2.7</v>
      </c>
      <c r="Q72" s="16">
        <v>-0.3</v>
      </c>
      <c r="R72" s="16">
        <v>-35</v>
      </c>
      <c r="S72" s="16">
        <f>Targets_DW[[#This Row],[CLEW (deg)]]-0.5*Targets_DW[[#This Row],[CA1 (deg)]]</f>
        <v>33.5</v>
      </c>
      <c r="T72" s="16">
        <v>16</v>
      </c>
      <c r="U72" s="16">
        <v>10.8</v>
      </c>
      <c r="V72" s="16"/>
      <c r="W72" s="16">
        <v>10.5</v>
      </c>
      <c r="X72" s="16"/>
      <c r="Y72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9.853911845877013</v>
      </c>
      <c r="Z72" s="16">
        <f>DEGREES(ASIN(Targets_DW[[#This Row],[TWS (km/h)]]*SIN(RADIANS(Targets_DW[[#This Row],[TWA (deg)]]+Targets_DW[[#This Row],[LEEWAY (deg)]]))/Targets_DW[[#This Row],[AWS]]))</f>
        <v>43.740718343461829</v>
      </c>
      <c r="AA72" s="16">
        <f>Targets_DW[[#This Row],[AWA+Leeway]]-Targets_DW[[#This Row],[ROT (deg)]]</f>
        <v>10.240718343461829</v>
      </c>
      <c r="AB72" s="16">
        <f>Targets_DW[[#This Row],[TWS (km/h)]]*(Targets_DW[[#This Row],[Wing]]/10)^0.1</f>
        <v>9.9580838495418504</v>
      </c>
      <c r="AC72" s="16">
        <f>SQRT(Targets_DW[[#This Row],[TWSTop]]^2+Targets_DW[[#This Row],[BSP (km/h)]]^2+2*Targets_DW[[#This Row],[BSP (km/h)]]*Targets_DW[[#This Row],[TWSTop]]*COS(RADIANS(Targets_DW[[#This Row],[TWA (deg)]]+Targets_DW[[#This Row],[LEEWAY (deg)]])))</f>
        <v>9.9491802527726225</v>
      </c>
      <c r="AD72" s="16">
        <f>DEGREES(ASIN(Targets_DW[[#This Row],[TWSTop]]*SIN(RADIANS(Targets_DW[[#This Row],[TWA (deg)]]+Targets_DW[[#This Row],[LEEWAY (deg)]]))/Targets_DW[[#This Row],[AWSTop]]))</f>
        <v>49.259437722909318</v>
      </c>
      <c r="AE72" s="16">
        <f>Targets_DW[[#This Row],[AWA+Leeway Top]]-Targets_DW[[#This Row],[ROT (deg)]]</f>
        <v>15.759437722909318</v>
      </c>
      <c r="AF72" s="16">
        <f>Targets_DW[[#This Row],[CLEW (deg)]]+Targets_DW[[#This Row],[TWIST (deg)]]</f>
        <v>26.8</v>
      </c>
      <c r="AG72" s="19">
        <f>Targets_DW[[#This Row],[AWA+Leeway Top]]-Targets_DW[[#This Row],[CA6]]</f>
        <v>22.459437722909318</v>
      </c>
      <c r="AH72" s="16">
        <f>Targets_DW[[#This Row],[AWA+Leeway]]-Targets_DW[[#This Row],[JibLead (deg)]]</f>
        <v>33.240718343461829</v>
      </c>
    </row>
    <row r="73" spans="1:34" x14ac:dyDescent="0.25">
      <c r="A73" s="17" t="s">
        <v>38</v>
      </c>
      <c r="B73" s="18" t="s">
        <v>37</v>
      </c>
      <c r="C73" s="18" t="s">
        <v>36</v>
      </c>
      <c r="D73" s="18">
        <v>27.5</v>
      </c>
      <c r="E73" s="18" t="str">
        <f t="shared" si="3"/>
        <v>H2_LAB2_LARW2-27.5m</v>
      </c>
      <c r="F73" s="18">
        <v>10</v>
      </c>
      <c r="G73" s="16">
        <f>ABS(Targets_DW[[#This Row],[BSP (km/h)]]*COS(RADIANS(Targets_DW[[#This Row],[TWA (deg)]]+Targets_DW[[#This Row],[LEEWAY (deg)]])))</f>
        <v>9.6723537550760117</v>
      </c>
      <c r="H73" s="16">
        <v>14</v>
      </c>
      <c r="I73" s="16">
        <v>133</v>
      </c>
      <c r="J73" s="16">
        <v>0.7</v>
      </c>
      <c r="K73" s="16">
        <v>4.5</v>
      </c>
      <c r="L73" s="16">
        <v>-0.6</v>
      </c>
      <c r="M73" s="16">
        <f>Targets_DW[[#This Row],[CANT (deg)]]-Targets_DW[[#This Row],[HEEL (deg)]]</f>
        <v>5.0999999999999996</v>
      </c>
      <c r="N73" s="16"/>
      <c r="O73" s="16">
        <v>0</v>
      </c>
      <c r="P73" s="16">
        <v>2.7</v>
      </c>
      <c r="Q73" s="16">
        <v>-0.3</v>
      </c>
      <c r="R73" s="16">
        <v>-35</v>
      </c>
      <c r="S73" s="16">
        <f>Targets_DW[[#This Row],[CLEW (deg)]]-0.5*Targets_DW[[#This Row],[CA1 (deg)]]</f>
        <v>35.5</v>
      </c>
      <c r="T73" s="16">
        <v>18</v>
      </c>
      <c r="U73" s="16">
        <v>11</v>
      </c>
      <c r="V73" s="16"/>
      <c r="W73" s="16">
        <v>10.5</v>
      </c>
      <c r="X73" s="16"/>
      <c r="Y73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10.126841802777397</v>
      </c>
      <c r="Z73" s="16">
        <f>DEGREES(ASIN(Targets_DW[[#This Row],[TWS (km/h)]]*SIN(RADIANS(Targets_DW[[#This Row],[TWA (deg)]]+Targets_DW[[#This Row],[LEEWAY (deg)]]))/Targets_DW[[#This Row],[AWS]]))</f>
        <v>45.554084829714974</v>
      </c>
      <c r="AA73" s="16">
        <f>Targets_DW[[#This Row],[AWA+Leeway]]-Targets_DW[[#This Row],[ROT (deg)]]</f>
        <v>10.054084829714974</v>
      </c>
      <c r="AB73" s="16">
        <f>Targets_DW[[#This Row],[TWS (km/h)]]*(Targets_DW[[#This Row],[Wing]]/10)^0.1</f>
        <v>11.064537610602056</v>
      </c>
      <c r="AC73" s="16">
        <f>SQRT(Targets_DW[[#This Row],[TWSTop]]^2+Targets_DW[[#This Row],[BSP (km/h)]]^2+2*Targets_DW[[#This Row],[BSP (km/h)]]*Targets_DW[[#This Row],[TWSTop]]*COS(RADIANS(Targets_DW[[#This Row],[TWA (deg)]]+Targets_DW[[#This Row],[LEEWAY (deg)]])))</f>
        <v>10.216836532129422</v>
      </c>
      <c r="AD73" s="16">
        <f>DEGREES(ASIN(Targets_DW[[#This Row],[TWSTop]]*SIN(RADIANS(Targets_DW[[#This Row],[TWA (deg)]]+Targets_DW[[#This Row],[LEEWAY (deg)]]))/Targets_DW[[#This Row],[AWSTop]]))</f>
        <v>51.531699355826625</v>
      </c>
      <c r="AE73" s="16">
        <f>Targets_DW[[#This Row],[AWA+Leeway Top]]-Targets_DW[[#This Row],[ROT (deg)]]</f>
        <v>16.031699355826625</v>
      </c>
      <c r="AF73" s="16">
        <f>Targets_DW[[#This Row],[CLEW (deg)]]+Targets_DW[[#This Row],[TWIST (deg)]]</f>
        <v>29</v>
      </c>
      <c r="AG73" s="19">
        <f>Targets_DW[[#This Row],[AWA+Leeway Top]]-Targets_DW[[#This Row],[CA6]]</f>
        <v>22.531699355826625</v>
      </c>
      <c r="AH73" s="16">
        <f>Targets_DW[[#This Row],[AWA+Leeway]]-Targets_DW[[#This Row],[JibLead (deg)]]</f>
        <v>35.054084829714974</v>
      </c>
    </row>
    <row r="74" spans="1:34" x14ac:dyDescent="0.25">
      <c r="A74" s="17" t="s">
        <v>38</v>
      </c>
      <c r="B74" s="18" t="s">
        <v>37</v>
      </c>
      <c r="C74" s="18" t="s">
        <v>36</v>
      </c>
      <c r="D74" s="18">
        <v>27.5</v>
      </c>
      <c r="E74" s="18" t="str">
        <f t="shared" si="3"/>
        <v>H2_LAB2_LARW2-27.5m</v>
      </c>
      <c r="F74" s="18">
        <v>11</v>
      </c>
      <c r="G74" s="16">
        <f>ABS(Targets_DW[[#This Row],[BSP (km/h)]]*COS(RADIANS(Targets_DW[[#This Row],[TWA (deg)]]+Targets_DW[[#This Row],[LEEWAY (deg)]])))</f>
        <v>10.717090194492048</v>
      </c>
      <c r="H74" s="16">
        <v>15</v>
      </c>
      <c r="I74" s="16">
        <v>135</v>
      </c>
      <c r="J74" s="16">
        <v>0.6</v>
      </c>
      <c r="K74" s="16">
        <v>4.5</v>
      </c>
      <c r="L74" s="16">
        <v>-0.7</v>
      </c>
      <c r="M74" s="16">
        <f>Targets_DW[[#This Row],[CANT (deg)]]-Targets_DW[[#This Row],[HEEL (deg)]]</f>
        <v>5.2</v>
      </c>
      <c r="N74" s="16"/>
      <c r="O74" s="16">
        <v>0</v>
      </c>
      <c r="P74" s="16">
        <v>2.7</v>
      </c>
      <c r="Q74" s="16">
        <v>-0.4</v>
      </c>
      <c r="R74" s="16">
        <v>-35</v>
      </c>
      <c r="S74" s="16">
        <f>Targets_DW[[#This Row],[CLEW (deg)]]-0.5*Targets_DW[[#This Row],[CA1 (deg)]]</f>
        <v>37.5</v>
      </c>
      <c r="T74" s="16">
        <v>20</v>
      </c>
      <c r="U74" s="16">
        <v>11</v>
      </c>
      <c r="V74" s="16"/>
      <c r="W74" s="16">
        <v>10.5</v>
      </c>
      <c r="X74" s="16"/>
      <c r="Y74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10.498762580474661</v>
      </c>
      <c r="Z74" s="16">
        <f>DEGREES(ASIN(Targets_DW[[#This Row],[TWS (km/h)]]*SIN(RADIANS(Targets_DW[[#This Row],[TWA (deg)]]+Targets_DW[[#This Row],[LEEWAY (deg)]]))/Targets_DW[[#This Row],[AWS]]))</f>
        <v>47.14413437632691</v>
      </c>
      <c r="AA74" s="16">
        <f>Targets_DW[[#This Row],[AWA+Leeway]]-Targets_DW[[#This Row],[ROT (deg)]]</f>
        <v>9.6441343763269103</v>
      </c>
      <c r="AB74" s="16">
        <f>Targets_DW[[#This Row],[TWS (km/h)]]*(Targets_DW[[#This Row],[Wing]]/10)^0.1</f>
        <v>12.170991371662263</v>
      </c>
      <c r="AC74" s="16">
        <f>SQRT(Targets_DW[[#This Row],[TWSTop]]^2+Targets_DW[[#This Row],[BSP (km/h)]]^2+2*Targets_DW[[#This Row],[BSP (km/h)]]*Targets_DW[[#This Row],[TWSTop]]*COS(RADIANS(Targets_DW[[#This Row],[TWA (deg)]]+Targets_DW[[#This Row],[LEEWAY (deg)]])))</f>
        <v>10.59517845041316</v>
      </c>
      <c r="AD74" s="16">
        <f>DEGREES(ASIN(Targets_DW[[#This Row],[TWSTop]]*SIN(RADIANS(Targets_DW[[#This Row],[TWA (deg)]]+Targets_DW[[#This Row],[LEEWAY (deg)]]))/Targets_DW[[#This Row],[AWSTop]]))</f>
        <v>53.487179488130963</v>
      </c>
      <c r="AE74" s="16">
        <f>Targets_DW[[#This Row],[AWA+Leeway Top]]-Targets_DW[[#This Row],[ROT (deg)]]</f>
        <v>15.987179488130963</v>
      </c>
      <c r="AF74" s="16">
        <f>Targets_DW[[#This Row],[CLEW (deg)]]+Targets_DW[[#This Row],[TWIST (deg)]]</f>
        <v>31</v>
      </c>
      <c r="AG74" s="19">
        <f>Targets_DW[[#This Row],[AWA+Leeway Top]]-Targets_DW[[#This Row],[CA6]]</f>
        <v>22.487179488130963</v>
      </c>
      <c r="AH74" s="16">
        <f>Targets_DW[[#This Row],[AWA+Leeway]]-Targets_DW[[#This Row],[JibLead (deg)]]</f>
        <v>36.64413437632691</v>
      </c>
    </row>
    <row r="75" spans="1:34" x14ac:dyDescent="0.25">
      <c r="A75" s="17" t="s">
        <v>38</v>
      </c>
      <c r="B75" s="18" t="s">
        <v>37</v>
      </c>
      <c r="C75" s="18" t="s">
        <v>36</v>
      </c>
      <c r="D75" s="18">
        <v>27.5</v>
      </c>
      <c r="E75" s="18" t="str">
        <f t="shared" si="3"/>
        <v>H2_LAB2_LARW2-27.5m</v>
      </c>
      <c r="F75" s="18">
        <v>12</v>
      </c>
      <c r="G75" s="16">
        <f>ABS(Targets_DW[[#This Row],[BSP (km/h)]]*COS(RADIANS(Targets_DW[[#This Row],[TWA (deg)]]+Targets_DW[[#This Row],[LEEWAY (deg)]])))</f>
        <v>12.125257635621084</v>
      </c>
      <c r="H75" s="16">
        <v>17</v>
      </c>
      <c r="I75" s="16">
        <v>135</v>
      </c>
      <c r="J75" s="16">
        <v>0.5</v>
      </c>
      <c r="K75" s="16">
        <v>4.5</v>
      </c>
      <c r="L75" s="16">
        <v>-0.8</v>
      </c>
      <c r="M75" s="16">
        <f>Targets_DW[[#This Row],[CANT (deg)]]-Targets_DW[[#This Row],[HEEL (deg)]]</f>
        <v>5.3</v>
      </c>
      <c r="N75" s="16"/>
      <c r="O75" s="16">
        <v>0</v>
      </c>
      <c r="P75" s="16">
        <v>2.7</v>
      </c>
      <c r="Q75" s="16">
        <v>-0.4</v>
      </c>
      <c r="R75" s="16">
        <v>-35</v>
      </c>
      <c r="S75" s="16">
        <f>Targets_DW[[#This Row],[CLEW (deg)]]-0.5*Targets_DW[[#This Row],[CA1 (deg)]]</f>
        <v>35.5</v>
      </c>
      <c r="T75" s="16">
        <v>18</v>
      </c>
      <c r="U75" s="16">
        <v>10.5</v>
      </c>
      <c r="V75" s="16"/>
      <c r="W75" s="16">
        <v>10.5</v>
      </c>
      <c r="X75" s="16"/>
      <c r="Y75" s="16">
        <f>SQRT(Targets_DW[[#This Row],[TWS (km/h)]]^2+Targets_DW[[#This Row],[BSP (km/h)]]^2+2*Targets_DW[[#This Row],[TWS (km/h)]]*Targets_DW[[#This Row],[BSP (km/h)]]*COS(RADIANS(Targets_DW[[#This Row],[TWA (deg)]]+Targets_DW[[#This Row],[LEEWAY (deg)]])))</f>
        <v>11.916115841376079</v>
      </c>
      <c r="Z75" s="16">
        <f>DEGREES(ASIN(Targets_DW[[#This Row],[TWS (km/h)]]*SIN(RADIANS(Targets_DW[[#This Row],[TWA (deg)]]+Targets_DW[[#This Row],[LEEWAY (deg)]]))/Targets_DW[[#This Row],[AWS]]))</f>
        <v>44.897717667450422</v>
      </c>
      <c r="AA75" s="16">
        <f>Targets_DW[[#This Row],[AWA+Leeway]]-Targets_DW[[#This Row],[ROT (deg)]]</f>
        <v>9.3977176674504221</v>
      </c>
      <c r="AB75" s="16">
        <f>Targets_DW[[#This Row],[TWS (km/h)]]*(Targets_DW[[#This Row],[Wing]]/10)^0.1</f>
        <v>13.277445132722468</v>
      </c>
      <c r="AC75" s="16">
        <f>SQRT(Targets_DW[[#This Row],[TWSTop]]^2+Targets_DW[[#This Row],[BSP (km/h)]]^2+2*Targets_DW[[#This Row],[BSP (km/h)]]*Targets_DW[[#This Row],[TWSTop]]*COS(RADIANS(Targets_DW[[#This Row],[TWA (deg)]]+Targets_DW[[#This Row],[LEEWAY (deg)]])))</f>
        <v>11.971034345380907</v>
      </c>
      <c r="AD75" s="16">
        <f>DEGREES(ASIN(Targets_DW[[#This Row],[TWSTop]]*SIN(RADIANS(Targets_DW[[#This Row],[TWA (deg)]]+Targets_DW[[#This Row],[LEEWAY (deg)]]))/Targets_DW[[#This Row],[AWSTop]]))</f>
        <v>51.023151164160765</v>
      </c>
      <c r="AE75" s="16">
        <f>Targets_DW[[#This Row],[AWA+Leeway Top]]-Targets_DW[[#This Row],[ROT (deg)]]</f>
        <v>15.523151164160765</v>
      </c>
      <c r="AF75" s="16">
        <f>Targets_DW[[#This Row],[CLEW (deg)]]+Targets_DW[[#This Row],[TWIST (deg)]]</f>
        <v>28.5</v>
      </c>
      <c r="AG75" s="19">
        <f>Targets_DW[[#This Row],[AWA+Leeway Top]]-Targets_DW[[#This Row],[CA6]]</f>
        <v>22.523151164160765</v>
      </c>
      <c r="AH75" s="16">
        <f>Targets_DW[[#This Row],[AWA+Leeway]]-Targets_DW[[#This Row],[JibLead (deg)]]</f>
        <v>34.397717667450422</v>
      </c>
    </row>
    <row r="76" spans="1:34" x14ac:dyDescent="0.25">
      <c r="A76" s="20" t="s">
        <v>40</v>
      </c>
      <c r="B76" s="21" t="s">
        <v>37</v>
      </c>
      <c r="C76" s="21" t="s">
        <v>36</v>
      </c>
      <c r="D76" s="21">
        <v>27.5</v>
      </c>
      <c r="E76" s="21" t="str">
        <f t="shared" si="3"/>
        <v>H1-2B_LAB2_LARW2-27.5m</v>
      </c>
      <c r="F76" s="21">
        <v>9</v>
      </c>
      <c r="G76" s="22">
        <f>ABS(Targets_DW[[#This Row],[BSP (km/h)]]*COS(RADIANS(Targets_DW[[#This Row],[TWA (deg)]]+Targets_DW[[#This Row],[LEEWAY (deg)]])))</f>
        <v>5.5550623897319964</v>
      </c>
      <c r="H76" s="22">
        <v>19</v>
      </c>
      <c r="I76" s="22">
        <v>104</v>
      </c>
      <c r="J76" s="22">
        <v>3</v>
      </c>
      <c r="K76" s="22">
        <v>0</v>
      </c>
      <c r="L76" s="22">
        <v>-8</v>
      </c>
      <c r="M76" s="22">
        <f>Targets_DW[[#This Row],[CANT (deg)]]-Targets_DW[[#This Row],[HEEL (deg)]]</f>
        <v>8</v>
      </c>
      <c r="N76" s="22"/>
      <c r="O76" s="22">
        <v>0</v>
      </c>
      <c r="P76" s="22">
        <v>3</v>
      </c>
      <c r="Q76" s="22">
        <v>-0.5</v>
      </c>
      <c r="R76" s="22">
        <v>-35</v>
      </c>
      <c r="S76" s="22">
        <f>Targets_DW[[#This Row],[CLEW (deg)]]-0.5*Targets_DW[[#This Row],[CA1 (deg)]]</f>
        <v>18.5</v>
      </c>
      <c r="T76" s="22">
        <v>1</v>
      </c>
      <c r="U76" s="22">
        <v>6.1</v>
      </c>
      <c r="V76" s="22"/>
      <c r="W76" s="22">
        <v>10.5</v>
      </c>
      <c r="X76" s="22"/>
      <c r="Y76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18.493482013531796</v>
      </c>
      <c r="Z76" s="22">
        <f>DEGREES(ASIN(Targets_DW[[#This Row],[TWS (km/h)]]*SIN(RADIANS(Targets_DW[[#This Row],[TWA (deg)]]+Targets_DW[[#This Row],[LEEWAY (deg)]]))/Targets_DW[[#This Row],[AWS]]))</f>
        <v>27.735679350969047</v>
      </c>
      <c r="AA76" s="22">
        <f>Targets_DW[[#This Row],[AWA+Leeway]]-Targets_DW[[#This Row],[ROT (deg)]]</f>
        <v>9.2356793509690469</v>
      </c>
      <c r="AB76" s="22">
        <f>Targets_DW[[#This Row],[TWS (km/h)]]*(Targets_DW[[#This Row],[Wing]]/10)^0.1</f>
        <v>9.9580838495418504</v>
      </c>
      <c r="AC76" s="22">
        <f>SQRT(Targets_DW[[#This Row],[TWSTop]]^2+Targets_DW[[#This Row],[BSP (km/h)]]^2+2*Targets_DW[[#This Row],[BSP (km/h)]]*Targets_DW[[#This Row],[TWSTop]]*COS(RADIANS(Targets_DW[[#This Row],[TWA (deg)]]+Targets_DW[[#This Row],[LEEWAY (deg)]])))</f>
        <v>18.695664733347439</v>
      </c>
      <c r="AD76" s="22">
        <f>DEGREES(ASIN(Targets_DW[[#This Row],[TWSTop]]*SIN(RADIANS(Targets_DW[[#This Row],[TWA (deg)]]+Targets_DW[[#This Row],[LEEWAY (deg)]]))/Targets_DW[[#This Row],[AWSTop]]))</f>
        <v>30.621704638387111</v>
      </c>
      <c r="AE76" s="22">
        <f>Targets_DW[[#This Row],[AWA+Leeway Top]]-Targets_DW[[#This Row],[ROT (deg)]]</f>
        <v>12.121704638387111</v>
      </c>
      <c r="AF76" s="22">
        <f>Targets_DW[[#This Row],[CLEW (deg)]]+Targets_DW[[#This Row],[TWIST (deg)]]</f>
        <v>7.1</v>
      </c>
      <c r="AG76" s="23">
        <f>Targets_DW[[#This Row],[AWA+Leeway Top]]-Targets_DW[[#This Row],[CA6]]</f>
        <v>23.521704638387114</v>
      </c>
      <c r="AH76" s="22">
        <f>Targets_DW[[#This Row],[AWA+Leeway]]-Targets_DW[[#This Row],[JibLead (deg)]]</f>
        <v>17.235679350969047</v>
      </c>
    </row>
    <row r="77" spans="1:34" x14ac:dyDescent="0.25">
      <c r="A77" s="20" t="s">
        <v>40</v>
      </c>
      <c r="B77" s="21" t="s">
        <v>37</v>
      </c>
      <c r="C77" s="21" t="s">
        <v>36</v>
      </c>
      <c r="D77" s="21">
        <v>27.5</v>
      </c>
      <c r="E77" s="21" t="str">
        <f t="shared" si="3"/>
        <v>H1-2B_LAB2_LARW2-27.5m</v>
      </c>
      <c r="F77" s="21">
        <v>10</v>
      </c>
      <c r="G77" s="22">
        <f>ABS(Targets_DW[[#This Row],[BSP (km/h)]]*COS(RADIANS(Targets_DW[[#This Row],[TWA (deg)]]+Targets_DW[[#This Row],[LEEWAY (deg)]])))</f>
        <v>8.9866085091760883</v>
      </c>
      <c r="H77" s="22">
        <v>20.5</v>
      </c>
      <c r="I77" s="22">
        <v>113</v>
      </c>
      <c r="J77" s="22">
        <v>3</v>
      </c>
      <c r="K77" s="22">
        <v>0</v>
      </c>
      <c r="L77" s="22">
        <v>-8</v>
      </c>
      <c r="M77" s="22">
        <f>Targets_DW[[#This Row],[CANT (deg)]]-Targets_DW[[#This Row],[HEEL (deg)]]</f>
        <v>8</v>
      </c>
      <c r="N77" s="22"/>
      <c r="O77" s="22">
        <v>0</v>
      </c>
      <c r="P77" s="22">
        <v>3</v>
      </c>
      <c r="Q77" s="22">
        <v>-0.5</v>
      </c>
      <c r="R77" s="22">
        <v>-35</v>
      </c>
      <c r="S77" s="22">
        <f>Targets_DW[[#This Row],[CLEW (deg)]]-0.5*Targets_DW[[#This Row],[CA1 (deg)]]</f>
        <v>19.5</v>
      </c>
      <c r="T77" s="22">
        <v>2</v>
      </c>
      <c r="U77" s="22">
        <v>6.9</v>
      </c>
      <c r="V77" s="22"/>
      <c r="W77" s="22">
        <v>10.5</v>
      </c>
      <c r="X77" s="22"/>
      <c r="Y77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18.453125204595512</v>
      </c>
      <c r="Z77" s="22">
        <f>DEGREES(ASIN(Targets_DW[[#This Row],[TWS (km/h)]]*SIN(RADIANS(Targets_DW[[#This Row],[TWA (deg)]]+Targets_DW[[#This Row],[LEEWAY (deg)]]))/Targets_DW[[#This Row],[AWS]]))</f>
        <v>29.148099831091567</v>
      </c>
      <c r="AA77" s="22">
        <f>Targets_DW[[#This Row],[AWA+Leeway]]-Targets_DW[[#This Row],[ROT (deg)]]</f>
        <v>9.6480998310915673</v>
      </c>
      <c r="AB77" s="22">
        <f>Targets_DW[[#This Row],[TWS (km/h)]]*(Targets_DW[[#This Row],[Wing]]/10)^0.1</f>
        <v>11.064537610602056</v>
      </c>
      <c r="AC77" s="22">
        <f>SQRT(Targets_DW[[#This Row],[TWSTop]]^2+Targets_DW[[#This Row],[BSP (km/h)]]^2+2*Targets_DW[[#This Row],[BSP (km/h)]]*Targets_DW[[#This Row],[TWSTop]]*COS(RADIANS(Targets_DW[[#This Row],[TWA (deg)]]+Targets_DW[[#This Row],[LEEWAY (deg)]])))</f>
        <v>18.542078007962239</v>
      </c>
      <c r="AD77" s="22">
        <f>DEGREES(ASIN(Targets_DW[[#This Row],[TWSTop]]*SIN(RADIANS(Targets_DW[[#This Row],[TWA (deg)]]+Targets_DW[[#This Row],[LEEWAY (deg)]]))/Targets_DW[[#This Row],[AWSTop]]))</f>
        <v>32.434402109414883</v>
      </c>
      <c r="AE77" s="22">
        <f>Targets_DW[[#This Row],[AWA+Leeway Top]]-Targets_DW[[#This Row],[ROT (deg)]]</f>
        <v>12.934402109414883</v>
      </c>
      <c r="AF77" s="22">
        <f>Targets_DW[[#This Row],[CLEW (deg)]]+Targets_DW[[#This Row],[TWIST (deg)]]</f>
        <v>8.9</v>
      </c>
      <c r="AG77" s="23">
        <f>Targets_DW[[#This Row],[AWA+Leeway Top]]-Targets_DW[[#This Row],[CA6]]</f>
        <v>23.534402109414884</v>
      </c>
      <c r="AH77" s="22">
        <f>Targets_DW[[#This Row],[AWA+Leeway]]-Targets_DW[[#This Row],[JibLead (deg)]]</f>
        <v>18.648099831091567</v>
      </c>
    </row>
    <row r="78" spans="1:34" x14ac:dyDescent="0.25">
      <c r="A78" s="20" t="s">
        <v>40</v>
      </c>
      <c r="B78" s="21" t="s">
        <v>37</v>
      </c>
      <c r="C78" s="21" t="s">
        <v>36</v>
      </c>
      <c r="D78" s="21">
        <v>27.5</v>
      </c>
      <c r="E78" s="21" t="str">
        <f t="shared" si="3"/>
        <v>H1-2B_LAB2_LARW2-27.5m</v>
      </c>
      <c r="F78" s="21">
        <v>11</v>
      </c>
      <c r="G78" s="22">
        <f>ABS(Targets_DW[[#This Row],[BSP (km/h)]]*COS(RADIANS(Targets_DW[[#This Row],[TWA (deg)]]+Targets_DW[[#This Row],[LEEWAY (deg)]])))</f>
        <v>11.124822418057173</v>
      </c>
      <c r="H78" s="22">
        <v>21.6</v>
      </c>
      <c r="I78" s="22">
        <v>118</v>
      </c>
      <c r="J78" s="22">
        <v>3</v>
      </c>
      <c r="K78" s="22">
        <v>0</v>
      </c>
      <c r="L78" s="22">
        <v>-8</v>
      </c>
      <c r="M78" s="22">
        <f>Targets_DW[[#This Row],[CANT (deg)]]-Targets_DW[[#This Row],[HEEL (deg)]]</f>
        <v>8</v>
      </c>
      <c r="N78" s="22"/>
      <c r="O78" s="22">
        <v>0</v>
      </c>
      <c r="P78" s="22">
        <v>3</v>
      </c>
      <c r="Q78" s="22">
        <v>-0.5</v>
      </c>
      <c r="R78" s="22">
        <v>-35</v>
      </c>
      <c r="S78" s="22">
        <f>Targets_DW[[#This Row],[CLEW (deg)]]-0.5*Targets_DW[[#This Row],[CA1 (deg)]]</f>
        <v>21</v>
      </c>
      <c r="T78" s="22">
        <v>3.5</v>
      </c>
      <c r="U78" s="22">
        <v>7.2</v>
      </c>
      <c r="V78" s="22"/>
      <c r="W78" s="22">
        <v>10.5</v>
      </c>
      <c r="X78" s="22"/>
      <c r="Y78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18.515234451735747</v>
      </c>
      <c r="Z78" s="22">
        <f>DEGREES(ASIN(Targets_DW[[#This Row],[TWS (km/h)]]*SIN(RADIANS(Targets_DW[[#This Row],[TWA (deg)]]+Targets_DW[[#This Row],[LEEWAY (deg)]]))/Targets_DW[[#This Row],[AWS]]))</f>
        <v>30.61373149570306</v>
      </c>
      <c r="AA78" s="22">
        <f>Targets_DW[[#This Row],[AWA+Leeway]]-Targets_DW[[#This Row],[ROT (deg)]]</f>
        <v>9.6137314957030604</v>
      </c>
      <c r="AB78" s="22">
        <f>Targets_DW[[#This Row],[TWS (km/h)]]*(Targets_DW[[#This Row],[Wing]]/10)^0.1</f>
        <v>12.170991371662263</v>
      </c>
      <c r="AC78" s="22">
        <f>SQRT(Targets_DW[[#This Row],[TWSTop]]^2+Targets_DW[[#This Row],[BSP (km/h)]]^2+2*Targets_DW[[#This Row],[BSP (km/h)]]*Targets_DW[[#This Row],[TWSTop]]*COS(RADIANS(Targets_DW[[#This Row],[TWA (deg)]]+Targets_DW[[#This Row],[LEEWAY (deg)]])))</f>
        <v>18.544346730100251</v>
      </c>
      <c r="AD78" s="22">
        <f>DEGREES(ASIN(Targets_DW[[#This Row],[TWSTop]]*SIN(RADIANS(Targets_DW[[#This Row],[TWA (deg)]]+Targets_DW[[#This Row],[LEEWAY (deg)]]))/Targets_DW[[#This Row],[AWSTop]]))</f>
        <v>34.234026349082619</v>
      </c>
      <c r="AE78" s="22">
        <f>Targets_DW[[#This Row],[AWA+Leeway Top]]-Targets_DW[[#This Row],[ROT (deg)]]</f>
        <v>13.234026349082619</v>
      </c>
      <c r="AF78" s="22">
        <f>Targets_DW[[#This Row],[CLEW (deg)]]+Targets_DW[[#This Row],[TWIST (deg)]]</f>
        <v>10.7</v>
      </c>
      <c r="AG78" s="23">
        <f>Targets_DW[[#This Row],[AWA+Leeway Top]]-Targets_DW[[#This Row],[CA6]]</f>
        <v>23.53402634908262</v>
      </c>
      <c r="AH78" s="22">
        <f>Targets_DW[[#This Row],[AWA+Leeway]]-Targets_DW[[#This Row],[JibLead (deg)]]</f>
        <v>20.11373149570306</v>
      </c>
    </row>
    <row r="79" spans="1:34" x14ac:dyDescent="0.25">
      <c r="A79" s="20" t="s">
        <v>40</v>
      </c>
      <c r="B79" s="21" t="s">
        <v>37</v>
      </c>
      <c r="C79" s="21" t="s">
        <v>36</v>
      </c>
      <c r="D79" s="21">
        <v>27.5</v>
      </c>
      <c r="E79" s="21" t="str">
        <f t="shared" si="3"/>
        <v>H1-2B_LAB2_LARW2-27.5m</v>
      </c>
      <c r="F79" s="21">
        <v>12</v>
      </c>
      <c r="G79" s="22">
        <f>ABS(Targets_DW[[#This Row],[BSP (km/h)]]*COS(RADIANS(Targets_DW[[#This Row],[TWA (deg)]]+Targets_DW[[#This Row],[LEEWAY (deg)]])))</f>
        <v>12.905469817898538</v>
      </c>
      <c r="H79" s="22">
        <v>22.5</v>
      </c>
      <c r="I79" s="22">
        <v>122</v>
      </c>
      <c r="J79" s="22">
        <v>3</v>
      </c>
      <c r="K79" s="22">
        <v>0</v>
      </c>
      <c r="L79" s="22">
        <v>-8</v>
      </c>
      <c r="M79" s="22">
        <f>Targets_DW[[#This Row],[CANT (deg)]]-Targets_DW[[#This Row],[HEEL (deg)]]</f>
        <v>8</v>
      </c>
      <c r="N79" s="22"/>
      <c r="O79" s="22">
        <v>0</v>
      </c>
      <c r="P79" s="22">
        <v>3</v>
      </c>
      <c r="Q79" s="22">
        <v>-0.5</v>
      </c>
      <c r="R79" s="22">
        <v>-35</v>
      </c>
      <c r="S79" s="22">
        <f>Targets_DW[[#This Row],[CLEW (deg)]]-0.5*Targets_DW[[#This Row],[CA1 (deg)]]</f>
        <v>22.5</v>
      </c>
      <c r="T79" s="22">
        <v>5</v>
      </c>
      <c r="U79" s="22">
        <v>7.7</v>
      </c>
      <c r="V79" s="22"/>
      <c r="W79" s="22">
        <v>10.5</v>
      </c>
      <c r="X79" s="22"/>
      <c r="Y79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18.453149443128538</v>
      </c>
      <c r="Z79" s="22">
        <f>DEGREES(ASIN(Targets_DW[[#This Row],[TWS (km/h)]]*SIN(RADIANS(Targets_DW[[#This Row],[TWA (deg)]]+Targets_DW[[#This Row],[LEEWAY (deg)]]))/Targets_DW[[#This Row],[AWS]]))</f>
        <v>32.187448113981901</v>
      </c>
      <c r="AA79" s="22">
        <f>Targets_DW[[#This Row],[AWA+Leeway]]-Targets_DW[[#This Row],[ROT (deg)]]</f>
        <v>9.6874481139819011</v>
      </c>
      <c r="AB79" s="22">
        <f>Targets_DW[[#This Row],[TWS (km/h)]]*(Targets_DW[[#This Row],[Wing]]/10)^0.1</f>
        <v>13.277445132722468</v>
      </c>
      <c r="AC79" s="22">
        <f>SQRT(Targets_DW[[#This Row],[TWSTop]]^2+Targets_DW[[#This Row],[BSP (km/h)]]^2+2*Targets_DW[[#This Row],[BSP (km/h)]]*Targets_DW[[#This Row],[TWSTop]]*COS(RADIANS(Targets_DW[[#This Row],[TWA (deg)]]+Targets_DW[[#This Row],[LEEWAY (deg)]])))</f>
        <v>18.434674242148901</v>
      </c>
      <c r="AD79" s="22">
        <f>DEGREES(ASIN(Targets_DW[[#This Row],[TWSTop]]*SIN(RADIANS(Targets_DW[[#This Row],[TWA (deg)]]+Targets_DW[[#This Row],[LEEWAY (deg)]]))/Targets_DW[[#This Row],[AWSTop]]))</f>
        <v>36.156194129370135</v>
      </c>
      <c r="AE79" s="22">
        <f>Targets_DW[[#This Row],[AWA+Leeway Top]]-Targets_DW[[#This Row],[ROT (deg)]]</f>
        <v>13.656194129370135</v>
      </c>
      <c r="AF79" s="22">
        <f>Targets_DW[[#This Row],[CLEW (deg)]]+Targets_DW[[#This Row],[TWIST (deg)]]</f>
        <v>12.7</v>
      </c>
      <c r="AG79" s="23">
        <f>Targets_DW[[#This Row],[AWA+Leeway Top]]-Targets_DW[[#This Row],[CA6]]</f>
        <v>23.456194129370136</v>
      </c>
      <c r="AH79" s="22">
        <f>Targets_DW[[#This Row],[AWA+Leeway]]-Targets_DW[[#This Row],[JibLead (deg)]]</f>
        <v>21.687448113981901</v>
      </c>
    </row>
    <row r="80" spans="1:34" x14ac:dyDescent="0.25">
      <c r="A80" s="20" t="s">
        <v>40</v>
      </c>
      <c r="B80" s="21" t="s">
        <v>37</v>
      </c>
      <c r="C80" s="21" t="s">
        <v>36</v>
      </c>
      <c r="D80" s="21">
        <v>27.5</v>
      </c>
      <c r="E80" s="21" t="str">
        <f t="shared" si="3"/>
        <v>H1-2B_LAB2_LARW2-27.5m</v>
      </c>
      <c r="F80" s="21">
        <v>13</v>
      </c>
      <c r="G80" s="22">
        <f>ABS(Targets_DW[[#This Row],[BSP (km/h)]]*COS(RADIANS(Targets_DW[[#This Row],[TWA (deg)]]+Targets_DW[[#This Row],[LEEWAY (deg)]])))</f>
        <v>14.406478522620404</v>
      </c>
      <c r="H80" s="22">
        <v>23.4</v>
      </c>
      <c r="I80" s="22">
        <v>125</v>
      </c>
      <c r="J80" s="22">
        <v>3</v>
      </c>
      <c r="K80" s="22">
        <v>0</v>
      </c>
      <c r="L80" s="22">
        <v>-8</v>
      </c>
      <c r="M80" s="22">
        <f>Targets_DW[[#This Row],[CANT (deg)]]-Targets_DW[[#This Row],[HEEL (deg)]]</f>
        <v>8</v>
      </c>
      <c r="N80" s="22"/>
      <c r="O80" s="22">
        <v>0</v>
      </c>
      <c r="P80" s="22">
        <v>3</v>
      </c>
      <c r="Q80" s="22">
        <v>-0.5</v>
      </c>
      <c r="R80" s="22">
        <v>-35</v>
      </c>
      <c r="S80" s="22">
        <f>Targets_DW[[#This Row],[CLEW (deg)]]-0.5*Targets_DW[[#This Row],[CA1 (deg)]]</f>
        <v>24</v>
      </c>
      <c r="T80" s="22">
        <v>6.5</v>
      </c>
      <c r="U80" s="22">
        <v>7.9</v>
      </c>
      <c r="V80" s="22"/>
      <c r="W80" s="22">
        <v>10.5</v>
      </c>
      <c r="X80" s="22"/>
      <c r="Y80" s="22">
        <f>SQRT(Targets_DW[[#This Row],[TWS (km/h)]]^2+Targets_DW[[#This Row],[BSP (km/h)]]^2+2*Targets_DW[[#This Row],[TWS (km/h)]]*Targets_DW[[#This Row],[BSP (km/h)]]*COS(RADIANS(Targets_DW[[#This Row],[TWA (deg)]]+Targets_DW[[#This Row],[LEEWAY (deg)]])))</f>
        <v>18.493013773094678</v>
      </c>
      <c r="Z80" s="22">
        <f>DEGREES(ASIN(Targets_DW[[#This Row],[TWS (km/h)]]*SIN(RADIANS(Targets_DW[[#This Row],[TWA (deg)]]+Targets_DW[[#This Row],[LEEWAY (deg)]]))/Targets_DW[[#This Row],[AWS]]))</f>
        <v>33.638181235736475</v>
      </c>
      <c r="AA80" s="22">
        <f>Targets_DW[[#This Row],[AWA+Leeway]]-Targets_DW[[#This Row],[ROT (deg)]]</f>
        <v>9.6381812357364751</v>
      </c>
      <c r="AB80" s="22">
        <f>Targets_DW[[#This Row],[TWS (km/h)]]*(Targets_DW[[#This Row],[Wing]]/10)^0.1</f>
        <v>14.383898893782673</v>
      </c>
      <c r="AC80" s="22">
        <f>SQRT(Targets_DW[[#This Row],[TWSTop]]^2+Targets_DW[[#This Row],[BSP (km/h)]]^2+2*Targets_DW[[#This Row],[BSP (km/h)]]*Targets_DW[[#This Row],[TWSTop]]*COS(RADIANS(Targets_DW[[#This Row],[TWA (deg)]]+Targets_DW[[#This Row],[LEEWAY (deg)]])))</f>
        <v>18.439465459088431</v>
      </c>
      <c r="AD80" s="22">
        <f>DEGREES(ASIN(Targets_DW[[#This Row],[TWSTop]]*SIN(RADIANS(Targets_DW[[#This Row],[TWA (deg)]]+Targets_DW[[#This Row],[LEEWAY (deg)]]))/Targets_DW[[#This Row],[AWSTop]]))</f>
        <v>37.929839736322151</v>
      </c>
      <c r="AE80" s="22">
        <f>Targets_DW[[#This Row],[AWA+Leeway Top]]-Targets_DW[[#This Row],[ROT (deg)]]</f>
        <v>13.929839736322151</v>
      </c>
      <c r="AF80" s="22">
        <f>Targets_DW[[#This Row],[CLEW (deg)]]+Targets_DW[[#This Row],[TWIST (deg)]]</f>
        <v>14.4</v>
      </c>
      <c r="AG80" s="23">
        <f>Targets_DW[[#This Row],[AWA+Leeway Top]]-Targets_DW[[#This Row],[CA6]]</f>
        <v>23.529839736322153</v>
      </c>
      <c r="AH80" s="22">
        <f>Targets_DW[[#This Row],[AWA+Leeway]]-Targets_DW[[#This Row],[JibLead (deg)]]</f>
        <v>23.138181235736475</v>
      </c>
    </row>
    <row r="81" spans="1:34" x14ac:dyDescent="0.25">
      <c r="A81" s="24" t="s">
        <v>41</v>
      </c>
      <c r="B81" s="25" t="s">
        <v>37</v>
      </c>
      <c r="C81" s="25" t="s">
        <v>36</v>
      </c>
      <c r="D81" s="25">
        <v>27.5</v>
      </c>
      <c r="E81" s="25" t="str">
        <f t="shared" si="3"/>
        <v>H1_LAB2_LARW2-27.5m</v>
      </c>
      <c r="F81" s="25">
        <v>12</v>
      </c>
      <c r="G81" s="26">
        <f>ABS(Targets_DW[[#This Row],[BSP (km/h)]]*COS(RADIANS(Targets_DW[[#This Row],[TWA (deg)]]+Targets_DW[[#This Row],[LEEWAY (deg)]])))</f>
        <v>9.8837004267419459</v>
      </c>
      <c r="H81" s="26">
        <v>24.3</v>
      </c>
      <c r="I81" s="26">
        <v>112</v>
      </c>
      <c r="J81" s="26">
        <v>2</v>
      </c>
      <c r="K81" s="26">
        <v>-1</v>
      </c>
      <c r="L81" s="26">
        <v>-10</v>
      </c>
      <c r="M81" s="26">
        <f>Targets_DW[[#This Row],[CANT (deg)]]-Targets_DW[[#This Row],[HEEL (deg)]]</f>
        <v>9</v>
      </c>
      <c r="N81" s="26"/>
      <c r="O81" s="26">
        <v>0</v>
      </c>
      <c r="P81" s="26">
        <v>3</v>
      </c>
      <c r="Q81" s="26">
        <v>-0.8</v>
      </c>
      <c r="R81" s="26">
        <v>-35</v>
      </c>
      <c r="S81" s="26">
        <f>Targets_DW[[#This Row],[CLEW (deg)]]-0.5*Targets_DW[[#This Row],[CA1 (deg)]]</f>
        <v>19.5</v>
      </c>
      <c r="T81" s="26">
        <v>2</v>
      </c>
      <c r="U81" s="26">
        <v>8.1999999999999993</v>
      </c>
      <c r="V81" s="26"/>
      <c r="W81" s="26">
        <v>10.5</v>
      </c>
      <c r="X81" s="26"/>
      <c r="Y81" s="26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22.299802460071103</v>
      </c>
      <c r="Z81" s="26">
        <f>DEGREES(ASIN(Targets_DW[[#This Row],[TWS (km/h)]]*SIN(RADIANS(Targets_DW[[#This Row],[TWA (deg)]]+Targets_DW[[#This Row],[LEEWAY (deg)]]))/Targets_DW[[#This Row],[AWS]]))</f>
        <v>29.445688943858009</v>
      </c>
      <c r="AA81" s="26">
        <f>Targets_DW[[#This Row],[AWA+Leeway]]-Targets_DW[[#This Row],[ROT (deg)]]</f>
        <v>9.9456889438580092</v>
      </c>
      <c r="AB81" s="26">
        <f>Targets_DW[[#This Row],[TWS (km/h)]]*(Targets_DW[[#This Row],[Wing]]/10)^0.1</f>
        <v>13.277445132722468</v>
      </c>
      <c r="AC81" s="26">
        <f>SQRT(Targets_DW[[#This Row],[TWSTop]]^2+Targets_DW[[#This Row],[BSP (km/h)]]^2+2*Targets_DW[[#This Row],[BSP (km/h)]]*Targets_DW[[#This Row],[TWSTop]]*COS(RADIANS(Targets_DW[[#This Row],[TWA (deg)]]+Targets_DW[[#This Row],[LEEWAY (deg)]])))</f>
        <v>22.457069466067736</v>
      </c>
      <c r="AD81" s="26">
        <f>DEGREES(ASIN(Targets_DW[[#This Row],[TWSTop]]*SIN(RADIANS(Targets_DW[[#This Row],[TWA (deg)]]+Targets_DW[[#This Row],[LEEWAY (deg)]]))/Targets_DW[[#This Row],[AWSTop]]))</f>
        <v>32.69192130863906</v>
      </c>
      <c r="AE81" s="26">
        <f>Targets_DW[[#This Row],[AWA+Leeway Top]]-Targets_DW[[#This Row],[ROT (deg)]]</f>
        <v>13.19192130863906</v>
      </c>
      <c r="AF81" s="26">
        <f>Targets_DW[[#This Row],[CLEW (deg)]]+Targets_DW[[#This Row],[TWIST (deg)]]</f>
        <v>10.199999999999999</v>
      </c>
      <c r="AG81" s="27">
        <f>Targets_DW[[#This Row],[AWA+Leeway Top]]-Targets_DW[[#This Row],[CA6]]</f>
        <v>22.491921308639061</v>
      </c>
      <c r="AH81" s="26">
        <f>Targets_DW[[#This Row],[AWA+Leeway]]-Targets_DW[[#This Row],[JibLead (deg)]]</f>
        <v>18.945688943858009</v>
      </c>
    </row>
    <row r="82" spans="1:34" x14ac:dyDescent="0.25">
      <c r="A82" s="24" t="s">
        <v>41</v>
      </c>
      <c r="B82" s="25" t="s">
        <v>37</v>
      </c>
      <c r="C82" s="25" t="s">
        <v>36</v>
      </c>
      <c r="D82" s="25">
        <v>27.5</v>
      </c>
      <c r="E82" s="25" t="str">
        <f t="shared" si="3"/>
        <v>H1_LAB2_LARW2-27.5m</v>
      </c>
      <c r="F82" s="25">
        <v>13</v>
      </c>
      <c r="G82" s="26">
        <f>ABS(Targets_DW[[#This Row],[BSP (km/h)]]*COS(RADIANS(Targets_DW[[#This Row],[TWA (deg)]]+Targets_DW[[#This Row],[LEEWAY (deg)]])))</f>
        <v>11.349762493488667</v>
      </c>
      <c r="H82" s="26">
        <v>25</v>
      </c>
      <c r="I82" s="26">
        <v>115</v>
      </c>
      <c r="J82" s="26">
        <v>2</v>
      </c>
      <c r="K82" s="26">
        <v>-1</v>
      </c>
      <c r="L82" s="26">
        <v>-10</v>
      </c>
      <c r="M82" s="26">
        <f>Targets_DW[[#This Row],[CANT (deg)]]-Targets_DW[[#This Row],[HEEL (deg)]]</f>
        <v>9</v>
      </c>
      <c r="N82" s="26"/>
      <c r="O82" s="26">
        <v>0</v>
      </c>
      <c r="P82" s="26">
        <v>3</v>
      </c>
      <c r="Q82" s="26">
        <v>-0.8</v>
      </c>
      <c r="R82" s="26">
        <v>-35</v>
      </c>
      <c r="S82" s="26">
        <f>Targets_DW[[#This Row],[CLEW (deg)]]-0.5*Targets_DW[[#This Row],[CA1 (deg)]]</f>
        <v>21.5</v>
      </c>
      <c r="T82" s="26">
        <v>4</v>
      </c>
      <c r="U82" s="26">
        <v>8.3000000000000007</v>
      </c>
      <c r="V82" s="26"/>
      <c r="W82" s="26">
        <v>10.5</v>
      </c>
      <c r="X82" s="26"/>
      <c r="Y82" s="26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22.336207716828177</v>
      </c>
      <c r="Z82" s="26">
        <f>DEGREES(ASIN(Targets_DW[[#This Row],[TWS (km/h)]]*SIN(RADIANS(Targets_DW[[#This Row],[TWA (deg)]]+Targets_DW[[#This Row],[LEEWAY (deg)]]))/Targets_DW[[#This Row],[AWS]]))</f>
        <v>31.236971467830045</v>
      </c>
      <c r="AA82" s="26">
        <f>Targets_DW[[#This Row],[AWA+Leeway]]-Targets_DW[[#This Row],[ROT (deg)]]</f>
        <v>9.7369714678300454</v>
      </c>
      <c r="AB82" s="26">
        <f>Targets_DW[[#This Row],[TWS (km/h)]]*(Targets_DW[[#This Row],[Wing]]/10)^0.1</f>
        <v>14.383898893782673</v>
      </c>
      <c r="AC82" s="26">
        <f>SQRT(Targets_DW[[#This Row],[TWSTop]]^2+Targets_DW[[#This Row],[BSP (km/h)]]^2+2*Targets_DW[[#This Row],[BSP (km/h)]]*Targets_DW[[#This Row],[TWSTop]]*COS(RADIANS(Targets_DW[[#This Row],[TWA (deg)]]+Targets_DW[[#This Row],[LEEWAY (deg)]])))</f>
        <v>22.480855745211009</v>
      </c>
      <c r="AD82" s="26">
        <f>DEGREES(ASIN(Targets_DW[[#This Row],[TWSTop]]*SIN(RADIANS(Targets_DW[[#This Row],[TWA (deg)]]+Targets_DW[[#This Row],[LEEWAY (deg)]]))/Targets_DW[[#This Row],[AWSTop]]))</f>
        <v>34.756615831508284</v>
      </c>
      <c r="AE82" s="26">
        <f>Targets_DW[[#This Row],[AWA+Leeway Top]]-Targets_DW[[#This Row],[ROT (deg)]]</f>
        <v>13.256615831508284</v>
      </c>
      <c r="AF82" s="26">
        <f>Targets_DW[[#This Row],[CLEW (deg)]]+Targets_DW[[#This Row],[TWIST (deg)]]</f>
        <v>12.3</v>
      </c>
      <c r="AG82" s="27">
        <f>Targets_DW[[#This Row],[AWA+Leeway Top]]-Targets_DW[[#This Row],[CA6]]</f>
        <v>22.456615831508284</v>
      </c>
      <c r="AH82" s="26">
        <f>Targets_DW[[#This Row],[AWA+Leeway]]-Targets_DW[[#This Row],[JibLead (deg)]]</f>
        <v>20.736971467830045</v>
      </c>
    </row>
    <row r="83" spans="1:34" ht="15.75" thickBot="1" x14ac:dyDescent="0.3">
      <c r="A83" s="28" t="s">
        <v>41</v>
      </c>
      <c r="B83" s="29" t="s">
        <v>37</v>
      </c>
      <c r="C83" s="29" t="s">
        <v>36</v>
      </c>
      <c r="D83" s="29">
        <v>27.5</v>
      </c>
      <c r="E83" s="29" t="str">
        <f t="shared" si="3"/>
        <v>H1_LAB2_LARW2-27.5m</v>
      </c>
      <c r="F83" s="29">
        <v>14</v>
      </c>
      <c r="G83" s="30">
        <f>ABS(Targets_DW[[#This Row],[BSP (km/h)]]*COS(RADIANS(Targets_DW[[#This Row],[TWA (deg)]]+Targets_DW[[#This Row],[LEEWAY (deg)]])))</f>
        <v>12.31416435425696</v>
      </c>
      <c r="H83" s="30">
        <v>25.4</v>
      </c>
      <c r="I83" s="30">
        <v>117</v>
      </c>
      <c r="J83" s="30">
        <v>2</v>
      </c>
      <c r="K83" s="30">
        <v>-1</v>
      </c>
      <c r="L83" s="30">
        <v>-10</v>
      </c>
      <c r="M83" s="30">
        <f>Targets_DW[[#This Row],[CANT (deg)]]-Targets_DW[[#This Row],[HEEL (deg)]]</f>
        <v>9</v>
      </c>
      <c r="N83" s="30"/>
      <c r="O83" s="30">
        <v>0</v>
      </c>
      <c r="P83" s="30">
        <v>3</v>
      </c>
      <c r="Q83" s="30">
        <v>-0.8</v>
      </c>
      <c r="R83" s="30">
        <v>-35</v>
      </c>
      <c r="S83" s="30">
        <f>Targets_DW[[#This Row],[CLEW (deg)]]-0.5*Targets_DW[[#This Row],[CA1 (deg)]]</f>
        <v>23.5</v>
      </c>
      <c r="T83" s="30">
        <v>6</v>
      </c>
      <c r="U83" s="30">
        <v>8.6</v>
      </c>
      <c r="V83" s="30"/>
      <c r="W83" s="30">
        <v>10.5</v>
      </c>
      <c r="X83" s="30"/>
      <c r="Y83" s="30">
        <f>SQRT(Targets_DW[[#This Row],[TWS (km/h)]]^2+Targets_DW[[#This Row],[BSP (km/h)]]^2+2*Targets_DW[[#This Row],[TWS (km/h)]]*Targets_DW[[#This Row],[BSP (km/h)]]*COS(RADIANS(Targets_DW[[#This Row],[TWA (deg)]]+Targets_DW[[#This Row],[LEEWAY (deg)]])))</f>
        <v>22.279214485273155</v>
      </c>
      <c r="Z83" s="30">
        <f>DEGREES(ASIN(Targets_DW[[#This Row],[TWS (km/h)]]*SIN(RADIANS(Targets_DW[[#This Row],[TWA (deg)]]+Targets_DW[[#This Row],[LEEWAY (deg)]]))/Targets_DW[[#This Row],[AWS]]))</f>
        <v>33.339636018884129</v>
      </c>
      <c r="AA83" s="30">
        <f>Targets_DW[[#This Row],[AWA+Leeway]]-Targets_DW[[#This Row],[ROT (deg)]]</f>
        <v>9.8396360188841285</v>
      </c>
      <c r="AB83" s="30">
        <f>Targets_DW[[#This Row],[TWS (km/h)]]*(Targets_DW[[#This Row],[Wing]]/10)^0.1</f>
        <v>15.49035265484288</v>
      </c>
      <c r="AC83" s="30">
        <f>SQRT(Targets_DW[[#This Row],[TWSTop]]^2+Targets_DW[[#This Row],[BSP (km/h)]]^2+2*Targets_DW[[#This Row],[BSP (km/h)]]*Targets_DW[[#This Row],[TWSTop]]*COS(RADIANS(Targets_DW[[#This Row],[TWA (deg)]]+Targets_DW[[#This Row],[LEEWAY (deg)]])))</f>
        <v>22.441246141360466</v>
      </c>
      <c r="AD83" s="30">
        <f>DEGREES(ASIN(Targets_DW[[#This Row],[TWSTop]]*SIN(RADIANS(Targets_DW[[#This Row],[TWA (deg)]]+Targets_DW[[#This Row],[LEEWAY (deg)]]))/Targets_DW[[#This Row],[AWSTop]]))</f>
        <v>37.136593494400223</v>
      </c>
      <c r="AE83" s="30">
        <f>Targets_DW[[#This Row],[AWA+Leeway Top]]-Targets_DW[[#This Row],[ROT (deg)]]</f>
        <v>13.636593494400223</v>
      </c>
      <c r="AF83" s="30">
        <f>Targets_DW[[#This Row],[CLEW (deg)]]+Targets_DW[[#This Row],[TWIST (deg)]]</f>
        <v>14.6</v>
      </c>
      <c r="AG83" s="31">
        <f>Targets_DW[[#This Row],[AWA+Leeway Top]]-Targets_DW[[#This Row],[CA6]]</f>
        <v>22.536593494400222</v>
      </c>
      <c r="AH83" s="26">
        <f>Targets_DW[[#This Row],[AWA+Leeway]]-Targets_DW[[#This Row],[JibLead (deg)]]</f>
        <v>22.839636018884129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00CC-7D6B-4319-8374-51458A4DFC59}">
  <dimension ref="B3:AE28"/>
  <sheetViews>
    <sheetView topLeftCell="F1" zoomScale="70" zoomScaleNormal="70" workbookViewId="0">
      <selection activeCell="O68" sqref="O68"/>
    </sheetView>
  </sheetViews>
  <sheetFormatPr defaultRowHeight="15" x14ac:dyDescent="0.25"/>
  <cols>
    <col min="2" max="2" width="5.7109375" bestFit="1" customWidth="1"/>
    <col min="3" max="3" width="11.7109375" bestFit="1" customWidth="1"/>
    <col min="4" max="4" width="13.42578125" bestFit="1" customWidth="1"/>
    <col min="5" max="5" width="9.28515625" bestFit="1" customWidth="1"/>
    <col min="6" max="6" width="8.5703125" bestFit="1" customWidth="1"/>
    <col min="7" max="7" width="14.7109375" bestFit="1" customWidth="1"/>
    <col min="8" max="8" width="5.7109375" bestFit="1" customWidth="1"/>
    <col min="9" max="9" width="11.7109375" bestFit="1" customWidth="1"/>
    <col min="10" max="10" width="13.42578125" bestFit="1" customWidth="1"/>
    <col min="11" max="11" width="9.28515625" bestFit="1" customWidth="1"/>
    <col min="12" max="12" width="8.5703125" bestFit="1" customWidth="1"/>
    <col min="13" max="13" width="14.7109375" bestFit="1" customWidth="1"/>
    <col min="14" max="14" width="5.7109375" bestFit="1" customWidth="1"/>
    <col min="15" max="15" width="11.7109375" bestFit="1" customWidth="1"/>
    <col min="16" max="16" width="12.85546875" bestFit="1" customWidth="1"/>
    <col min="17" max="17" width="9.28515625" bestFit="1" customWidth="1"/>
    <col min="18" max="18" width="8.5703125" bestFit="1" customWidth="1"/>
    <col min="19" max="19" width="14.7109375" bestFit="1" customWidth="1"/>
    <col min="20" max="20" width="5.7109375" bestFit="1" customWidth="1"/>
    <col min="21" max="21" width="11.7109375" bestFit="1" customWidth="1"/>
    <col min="22" max="22" width="13" bestFit="1" customWidth="1"/>
    <col min="23" max="23" width="9.28515625" bestFit="1" customWidth="1"/>
    <col min="24" max="24" width="8.5703125" bestFit="1" customWidth="1"/>
    <col min="25" max="25" width="14.7109375" bestFit="1" customWidth="1"/>
    <col min="30" max="30" width="14.7109375" bestFit="1" customWidth="1"/>
    <col min="31" max="31" width="12.28515625" bestFit="1" customWidth="1"/>
  </cols>
  <sheetData>
    <row r="3" spans="2:31" x14ac:dyDescent="0.25">
      <c r="B3" s="36" t="s">
        <v>42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8"/>
    </row>
    <row r="4" spans="2:31" x14ac:dyDescent="0.25">
      <c r="B4" s="36" t="s">
        <v>37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39" t="s">
        <v>33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AD4" s="36" t="s">
        <v>37</v>
      </c>
      <c r="AE4" s="38"/>
    </row>
    <row r="5" spans="2:31" x14ac:dyDescent="0.25">
      <c r="B5" s="39" t="s">
        <v>59</v>
      </c>
      <c r="C5" s="39"/>
      <c r="D5" s="39"/>
      <c r="E5" s="39"/>
      <c r="F5" s="39"/>
      <c r="G5" s="39"/>
      <c r="H5" s="39" t="s">
        <v>43</v>
      </c>
      <c r="I5" s="39"/>
      <c r="J5" s="39"/>
      <c r="K5" s="39"/>
      <c r="L5" s="39"/>
      <c r="M5" s="39"/>
      <c r="N5" s="39" t="s">
        <v>43</v>
      </c>
      <c r="O5" s="39"/>
      <c r="P5" s="39"/>
      <c r="Q5" s="39"/>
      <c r="R5" s="39"/>
      <c r="S5" s="39"/>
      <c r="T5" s="39" t="s">
        <v>50</v>
      </c>
      <c r="U5" s="39"/>
      <c r="V5" s="39"/>
      <c r="W5" s="39"/>
      <c r="X5" s="39"/>
      <c r="Y5" s="39"/>
      <c r="AD5" s="35" t="s">
        <v>54</v>
      </c>
      <c r="AE5" s="32" t="s">
        <v>45</v>
      </c>
    </row>
    <row r="6" spans="2:31" x14ac:dyDescent="0.25">
      <c r="B6" s="33" t="s">
        <v>44</v>
      </c>
      <c r="C6" s="33" t="s">
        <v>45</v>
      </c>
      <c r="D6" s="33" t="s">
        <v>46</v>
      </c>
      <c r="E6" s="33" t="s">
        <v>47</v>
      </c>
      <c r="F6" s="34" t="s">
        <v>48</v>
      </c>
      <c r="G6" s="34" t="s">
        <v>54</v>
      </c>
      <c r="H6" s="33" t="s">
        <v>44</v>
      </c>
      <c r="I6" s="33" t="s">
        <v>45</v>
      </c>
      <c r="J6" s="33" t="s">
        <v>46</v>
      </c>
      <c r="K6" s="33" t="s">
        <v>47</v>
      </c>
      <c r="L6" s="34" t="s">
        <v>48</v>
      </c>
      <c r="M6" s="34" t="s">
        <v>54</v>
      </c>
      <c r="N6" s="33" t="s">
        <v>44</v>
      </c>
      <c r="O6" s="33" t="s">
        <v>45</v>
      </c>
      <c r="P6" s="33" t="s">
        <v>46</v>
      </c>
      <c r="Q6" s="33" t="s">
        <v>47</v>
      </c>
      <c r="R6" s="34" t="s">
        <v>48</v>
      </c>
      <c r="S6" s="34" t="s">
        <v>54</v>
      </c>
      <c r="T6" s="33" t="s">
        <v>44</v>
      </c>
      <c r="U6" s="33" t="s">
        <v>45</v>
      </c>
      <c r="V6" s="33" t="s">
        <v>46</v>
      </c>
      <c r="W6" s="33" t="s">
        <v>47</v>
      </c>
      <c r="X6" s="33" t="s">
        <v>48</v>
      </c>
      <c r="Y6" s="32" t="s">
        <v>54</v>
      </c>
      <c r="AD6" s="32">
        <v>30</v>
      </c>
      <c r="AE6" s="32">
        <v>3.5</v>
      </c>
    </row>
    <row r="7" spans="2:31" x14ac:dyDescent="0.25">
      <c r="B7" s="32">
        <v>12</v>
      </c>
      <c r="C7" s="32">
        <v>3.5</v>
      </c>
      <c r="D7" s="32" t="s">
        <v>53</v>
      </c>
      <c r="E7" s="32">
        <v>8.5</v>
      </c>
      <c r="F7" s="32">
        <v>35</v>
      </c>
      <c r="G7" s="32">
        <v>30</v>
      </c>
      <c r="H7" s="32">
        <v>16</v>
      </c>
      <c r="I7" s="32">
        <v>3.2</v>
      </c>
      <c r="J7" s="32" t="s">
        <v>53</v>
      </c>
      <c r="K7" s="32">
        <v>8</v>
      </c>
      <c r="L7" s="32">
        <v>38</v>
      </c>
      <c r="M7" s="32">
        <v>32</v>
      </c>
      <c r="N7" s="32">
        <v>19</v>
      </c>
      <c r="O7" s="32">
        <v>4.2</v>
      </c>
      <c r="P7" s="32" t="s">
        <v>49</v>
      </c>
      <c r="Q7" s="32">
        <v>8.5</v>
      </c>
      <c r="R7" s="32">
        <v>45</v>
      </c>
      <c r="S7" s="32">
        <v>38</v>
      </c>
      <c r="T7" s="32">
        <v>20</v>
      </c>
      <c r="U7" s="32">
        <v>3.6</v>
      </c>
      <c r="V7" s="32" t="s">
        <v>51</v>
      </c>
      <c r="W7" s="32">
        <v>8</v>
      </c>
      <c r="X7" s="32">
        <v>46</v>
      </c>
      <c r="Y7" s="32">
        <v>40</v>
      </c>
      <c r="AD7" s="32">
        <v>31</v>
      </c>
      <c r="AE7" s="32">
        <v>3.4</v>
      </c>
    </row>
    <row r="8" spans="2:31" x14ac:dyDescent="0.25">
      <c r="B8" s="32">
        <v>14</v>
      </c>
      <c r="C8" s="32">
        <v>3.4</v>
      </c>
      <c r="D8" s="32" t="s">
        <v>53</v>
      </c>
      <c r="E8" s="32">
        <v>8</v>
      </c>
      <c r="F8" s="32">
        <v>36</v>
      </c>
      <c r="G8" s="32">
        <v>31</v>
      </c>
      <c r="H8" s="32">
        <v>18</v>
      </c>
      <c r="I8" s="32">
        <v>2.7</v>
      </c>
      <c r="J8" s="32" t="s">
        <v>53</v>
      </c>
      <c r="K8" s="32">
        <v>8</v>
      </c>
      <c r="L8" s="32">
        <v>40</v>
      </c>
      <c r="M8" s="32">
        <v>33.5</v>
      </c>
      <c r="N8" s="32">
        <v>22</v>
      </c>
      <c r="O8" s="32">
        <v>3.3</v>
      </c>
      <c r="P8" s="32" t="s">
        <v>49</v>
      </c>
      <c r="Q8" s="32">
        <v>8.5</v>
      </c>
      <c r="R8" s="32">
        <v>47</v>
      </c>
      <c r="S8" s="32">
        <v>39.5</v>
      </c>
      <c r="T8" s="32">
        <v>24</v>
      </c>
      <c r="U8" s="32">
        <v>0.5</v>
      </c>
      <c r="V8" s="32" t="s">
        <v>52</v>
      </c>
      <c r="W8" s="32">
        <v>8</v>
      </c>
      <c r="X8" s="32">
        <v>53</v>
      </c>
      <c r="Y8" s="32">
        <v>45</v>
      </c>
      <c r="AD8" s="32">
        <v>32</v>
      </c>
      <c r="AE8" s="32">
        <v>3.2</v>
      </c>
    </row>
    <row r="9" spans="2:31" x14ac:dyDescent="0.25">
      <c r="B9" s="32">
        <v>16</v>
      </c>
      <c r="C9" s="32">
        <v>3.2</v>
      </c>
      <c r="D9" s="32" t="s">
        <v>53</v>
      </c>
      <c r="E9" s="32">
        <v>7.5</v>
      </c>
      <c r="F9" s="32">
        <v>37</v>
      </c>
      <c r="G9" s="32">
        <v>32</v>
      </c>
      <c r="H9" s="32">
        <v>20</v>
      </c>
      <c r="I9" s="32">
        <v>2</v>
      </c>
      <c r="J9" s="32" t="s">
        <v>53</v>
      </c>
      <c r="K9" s="32">
        <v>8</v>
      </c>
      <c r="L9" s="32">
        <v>41</v>
      </c>
      <c r="M9" s="32">
        <v>34.5</v>
      </c>
      <c r="N9" s="32">
        <v>25</v>
      </c>
      <c r="O9" s="32">
        <v>2.5</v>
      </c>
      <c r="P9" s="32" t="s">
        <v>53</v>
      </c>
      <c r="Q9" s="32">
        <v>8.5</v>
      </c>
      <c r="R9" s="32">
        <v>49</v>
      </c>
      <c r="S9" s="32">
        <v>41</v>
      </c>
      <c r="T9" s="32">
        <v>28</v>
      </c>
      <c r="U9" s="32">
        <v>-0.5</v>
      </c>
      <c r="V9" s="32" t="s">
        <v>51</v>
      </c>
      <c r="W9" s="32">
        <v>8</v>
      </c>
      <c r="X9" s="32">
        <v>56</v>
      </c>
      <c r="Y9" s="32">
        <v>46</v>
      </c>
      <c r="AD9" s="32">
        <v>33.5</v>
      </c>
      <c r="AE9" s="32">
        <v>2.7</v>
      </c>
    </row>
    <row r="10" spans="2:31" x14ac:dyDescent="0.25">
      <c r="N10" s="32">
        <v>28</v>
      </c>
      <c r="O10" s="32">
        <v>1.2</v>
      </c>
      <c r="P10" s="32" t="s">
        <v>53</v>
      </c>
      <c r="Q10" s="32">
        <v>8.5</v>
      </c>
      <c r="R10" s="32">
        <v>51</v>
      </c>
      <c r="S10" s="32">
        <v>42.5</v>
      </c>
      <c r="T10" s="32">
        <v>32</v>
      </c>
      <c r="U10" s="32">
        <v>-1.2</v>
      </c>
      <c r="V10" s="32" t="s">
        <v>51</v>
      </c>
      <c r="W10" s="32">
        <v>8.5</v>
      </c>
      <c r="X10" s="32">
        <v>56</v>
      </c>
      <c r="Y10" s="32">
        <v>47</v>
      </c>
      <c r="AD10" s="32">
        <v>34.5</v>
      </c>
      <c r="AE10" s="32">
        <v>2</v>
      </c>
    </row>
    <row r="11" spans="2:31" x14ac:dyDescent="0.25">
      <c r="N11" s="32">
        <v>31</v>
      </c>
      <c r="O11" s="32">
        <v>0</v>
      </c>
      <c r="P11" s="32" t="s">
        <v>53</v>
      </c>
      <c r="Q11" s="32">
        <v>8.5</v>
      </c>
      <c r="R11" s="32">
        <v>53</v>
      </c>
      <c r="S11" s="32">
        <v>44</v>
      </c>
      <c r="T11" s="32">
        <v>34</v>
      </c>
      <c r="U11" s="32">
        <v>-2</v>
      </c>
      <c r="V11" s="32" t="s">
        <v>51</v>
      </c>
      <c r="W11" s="32">
        <v>8.5</v>
      </c>
      <c r="X11" s="32">
        <v>56</v>
      </c>
      <c r="Y11" s="32">
        <v>47</v>
      </c>
    </row>
    <row r="12" spans="2:31" x14ac:dyDescent="0.25">
      <c r="T12" s="32">
        <v>38</v>
      </c>
      <c r="U12" s="32">
        <v>-2</v>
      </c>
      <c r="V12" s="32" t="s">
        <v>51</v>
      </c>
      <c r="W12" s="32">
        <v>8.5</v>
      </c>
      <c r="X12" s="32">
        <v>56</v>
      </c>
      <c r="Y12" s="32">
        <v>47</v>
      </c>
    </row>
    <row r="13" spans="2:31" x14ac:dyDescent="0.25">
      <c r="T13" s="32">
        <v>42</v>
      </c>
      <c r="U13" s="32">
        <v>-2</v>
      </c>
      <c r="V13" s="32" t="s">
        <v>51</v>
      </c>
      <c r="W13" s="32">
        <v>9</v>
      </c>
      <c r="X13" s="32">
        <v>56</v>
      </c>
      <c r="Y13" s="32">
        <v>47</v>
      </c>
    </row>
    <row r="18" spans="2:31" x14ac:dyDescent="0.25">
      <c r="B18" s="36" t="s">
        <v>55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8"/>
    </row>
    <row r="19" spans="2:31" x14ac:dyDescent="0.25">
      <c r="B19" s="36" t="s">
        <v>37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8"/>
      <c r="N19" s="39" t="s">
        <v>33</v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2:31" x14ac:dyDescent="0.25">
      <c r="B20" s="39" t="s">
        <v>59</v>
      </c>
      <c r="C20" s="39"/>
      <c r="D20" s="39"/>
      <c r="E20" s="39"/>
      <c r="F20" s="39"/>
      <c r="G20" s="39"/>
      <c r="H20" s="39" t="s">
        <v>43</v>
      </c>
      <c r="I20" s="39"/>
      <c r="J20" s="39"/>
      <c r="K20" s="39"/>
      <c r="L20" s="39"/>
      <c r="M20" s="39"/>
      <c r="N20" s="39" t="s">
        <v>43</v>
      </c>
      <c r="O20" s="39"/>
      <c r="P20" s="39"/>
      <c r="Q20" s="39"/>
      <c r="R20" s="39"/>
      <c r="S20" s="39"/>
      <c r="T20" s="39" t="s">
        <v>50</v>
      </c>
      <c r="U20" s="39"/>
      <c r="V20" s="39"/>
      <c r="W20" s="39"/>
      <c r="X20" s="39"/>
      <c r="Y20" s="39"/>
      <c r="AD20" s="36" t="s">
        <v>37</v>
      </c>
      <c r="AE20" s="38"/>
    </row>
    <row r="21" spans="2:31" x14ac:dyDescent="0.25">
      <c r="B21" s="33" t="s">
        <v>44</v>
      </c>
      <c r="C21" s="33" t="s">
        <v>45</v>
      </c>
      <c r="D21" s="33" t="s">
        <v>46</v>
      </c>
      <c r="E21" s="33" t="s">
        <v>47</v>
      </c>
      <c r="F21" s="34" t="s">
        <v>48</v>
      </c>
      <c r="G21" s="34" t="s">
        <v>54</v>
      </c>
      <c r="H21" s="33" t="s">
        <v>44</v>
      </c>
      <c r="I21" s="33" t="s">
        <v>45</v>
      </c>
      <c r="J21" s="33" t="s">
        <v>46</v>
      </c>
      <c r="K21" s="33" t="s">
        <v>47</v>
      </c>
      <c r="L21" s="34" t="s">
        <v>48</v>
      </c>
      <c r="M21" s="34" t="s">
        <v>54</v>
      </c>
      <c r="N21" s="33" t="s">
        <v>44</v>
      </c>
      <c r="O21" s="33" t="s">
        <v>45</v>
      </c>
      <c r="P21" s="33" t="s">
        <v>46</v>
      </c>
      <c r="Q21" s="33" t="s">
        <v>47</v>
      </c>
      <c r="R21" s="34" t="s">
        <v>48</v>
      </c>
      <c r="S21" s="34" t="s">
        <v>54</v>
      </c>
      <c r="T21" s="33" t="s">
        <v>44</v>
      </c>
      <c r="U21" s="33" t="s">
        <v>45</v>
      </c>
      <c r="V21" s="33" t="s">
        <v>46</v>
      </c>
      <c r="W21" s="33" t="s">
        <v>47</v>
      </c>
      <c r="X21" s="33" t="s">
        <v>48</v>
      </c>
      <c r="Y21" s="32" t="s">
        <v>54</v>
      </c>
      <c r="AD21" s="32" t="s">
        <v>54</v>
      </c>
      <c r="AE21" s="32" t="s">
        <v>58</v>
      </c>
    </row>
    <row r="22" spans="2:31" x14ac:dyDescent="0.25">
      <c r="B22" s="32">
        <v>12</v>
      </c>
      <c r="C22" s="32">
        <v>2</v>
      </c>
      <c r="D22" s="32" t="s">
        <v>60</v>
      </c>
      <c r="E22" s="32">
        <v>8</v>
      </c>
      <c r="F22" s="32">
        <v>36</v>
      </c>
      <c r="G22" s="32">
        <v>33</v>
      </c>
      <c r="H22" s="32">
        <v>13</v>
      </c>
      <c r="I22" s="32">
        <v>1.6</v>
      </c>
      <c r="J22" s="32" t="s">
        <v>60</v>
      </c>
      <c r="K22" s="32">
        <v>8.5</v>
      </c>
      <c r="L22" s="32">
        <v>44.5</v>
      </c>
      <c r="M22" s="32">
        <v>38.5</v>
      </c>
      <c r="N22" s="32">
        <v>19</v>
      </c>
      <c r="O22" s="32">
        <v>0.5</v>
      </c>
      <c r="P22" s="32" t="s">
        <v>62</v>
      </c>
      <c r="Q22" s="32">
        <v>9</v>
      </c>
      <c r="R22" s="32">
        <v>58</v>
      </c>
      <c r="S22" s="32">
        <v>47.5</v>
      </c>
      <c r="T22" s="32">
        <v>20</v>
      </c>
      <c r="U22" s="32">
        <v>-2</v>
      </c>
      <c r="V22" s="32" t="s">
        <v>56</v>
      </c>
      <c r="W22" s="32">
        <v>9</v>
      </c>
      <c r="X22" s="32">
        <v>58</v>
      </c>
      <c r="Y22" s="32">
        <v>51.5</v>
      </c>
      <c r="AD22" s="32">
        <v>33</v>
      </c>
      <c r="AE22" s="32">
        <v>2</v>
      </c>
    </row>
    <row r="23" spans="2:31" x14ac:dyDescent="0.25">
      <c r="B23" s="32">
        <v>14</v>
      </c>
      <c r="C23" s="32">
        <v>1.8</v>
      </c>
      <c r="D23" s="32" t="s">
        <v>56</v>
      </c>
      <c r="E23" s="32">
        <v>8.5</v>
      </c>
      <c r="F23" s="32">
        <v>42</v>
      </c>
      <c r="G23" s="32">
        <v>36.5</v>
      </c>
      <c r="H23" s="32">
        <v>16</v>
      </c>
      <c r="I23" s="32">
        <v>1.5</v>
      </c>
      <c r="J23" s="32" t="s">
        <v>60</v>
      </c>
      <c r="K23" s="32">
        <v>8.5</v>
      </c>
      <c r="L23" s="32">
        <v>45</v>
      </c>
      <c r="M23" s="32">
        <v>39</v>
      </c>
      <c r="N23" s="32">
        <v>22</v>
      </c>
      <c r="O23" s="32">
        <v>-0.5</v>
      </c>
      <c r="P23" s="32" t="s">
        <v>53</v>
      </c>
      <c r="Q23" s="32">
        <v>9.5</v>
      </c>
      <c r="R23" s="32">
        <v>60</v>
      </c>
      <c r="S23" s="32">
        <v>49</v>
      </c>
      <c r="T23" s="32">
        <v>24</v>
      </c>
      <c r="U23" s="32">
        <v>-2.5</v>
      </c>
      <c r="V23" s="32" t="s">
        <v>53</v>
      </c>
      <c r="W23" s="32">
        <v>9.5</v>
      </c>
      <c r="X23" s="32">
        <v>63</v>
      </c>
      <c r="Y23" s="32">
        <v>54</v>
      </c>
      <c r="AD23" s="32">
        <v>36.5</v>
      </c>
      <c r="AE23" s="32">
        <v>1.8</v>
      </c>
    </row>
    <row r="24" spans="2:31" x14ac:dyDescent="0.25">
      <c r="B24" s="32">
        <v>16</v>
      </c>
      <c r="C24" s="32">
        <v>1.75</v>
      </c>
      <c r="D24" s="32" t="s">
        <v>51</v>
      </c>
      <c r="E24" s="32">
        <v>9</v>
      </c>
      <c r="F24" s="32">
        <v>44</v>
      </c>
      <c r="G24" s="32">
        <v>37</v>
      </c>
      <c r="H24" s="32">
        <v>18</v>
      </c>
      <c r="I24" s="32">
        <v>0.9</v>
      </c>
      <c r="J24" s="32" t="s">
        <v>60</v>
      </c>
      <c r="K24" s="32">
        <v>8.6999999999999993</v>
      </c>
      <c r="L24" s="32">
        <v>49</v>
      </c>
      <c r="M24" s="32">
        <v>41</v>
      </c>
      <c r="N24" s="32">
        <v>25</v>
      </c>
      <c r="O24" s="32">
        <v>-2</v>
      </c>
      <c r="P24" s="32" t="s">
        <v>57</v>
      </c>
      <c r="Q24" s="32">
        <v>10</v>
      </c>
      <c r="R24" s="32">
        <v>65</v>
      </c>
      <c r="S24" s="32">
        <v>52</v>
      </c>
      <c r="T24" s="32">
        <v>28</v>
      </c>
      <c r="U24" s="32">
        <v>-3.2</v>
      </c>
      <c r="V24" s="32" t="s">
        <v>51</v>
      </c>
      <c r="W24" s="32">
        <v>9.5</v>
      </c>
      <c r="X24" s="32">
        <v>71</v>
      </c>
      <c r="Y24" s="32">
        <v>59</v>
      </c>
      <c r="AD24" s="32">
        <v>37</v>
      </c>
      <c r="AE24" s="32">
        <v>1.75</v>
      </c>
    </row>
    <row r="25" spans="2:31" x14ac:dyDescent="0.25">
      <c r="H25" s="32">
        <v>20</v>
      </c>
      <c r="I25" s="32">
        <v>-0.5</v>
      </c>
      <c r="J25" s="32" t="s">
        <v>56</v>
      </c>
      <c r="K25" s="32">
        <v>9</v>
      </c>
      <c r="L25" s="32">
        <v>52</v>
      </c>
      <c r="M25" s="32">
        <v>43</v>
      </c>
      <c r="N25" s="32">
        <v>28</v>
      </c>
      <c r="O25" s="32">
        <v>-3</v>
      </c>
      <c r="P25" s="32" t="s">
        <v>49</v>
      </c>
      <c r="Q25" s="32">
        <v>10</v>
      </c>
      <c r="R25" s="32">
        <v>69</v>
      </c>
      <c r="S25" s="32">
        <v>55.5</v>
      </c>
      <c r="T25" s="32">
        <v>32</v>
      </c>
      <c r="U25" s="32">
        <v>-3.5</v>
      </c>
      <c r="V25" s="32" t="s">
        <v>57</v>
      </c>
      <c r="W25" s="32">
        <v>10</v>
      </c>
      <c r="X25" s="32">
        <v>74</v>
      </c>
      <c r="Y25" s="32">
        <v>60.5</v>
      </c>
      <c r="AD25" s="32">
        <v>38.5</v>
      </c>
      <c r="AE25" s="32">
        <v>1.6</v>
      </c>
    </row>
    <row r="26" spans="2:31" x14ac:dyDescent="0.25">
      <c r="N26" s="32">
        <v>31</v>
      </c>
      <c r="O26" s="32">
        <v>-3.5</v>
      </c>
      <c r="P26" s="32" t="s">
        <v>49</v>
      </c>
      <c r="Q26" s="32">
        <v>10</v>
      </c>
      <c r="R26" s="32">
        <v>74</v>
      </c>
      <c r="S26" s="32">
        <v>58</v>
      </c>
      <c r="T26" s="32">
        <v>34</v>
      </c>
      <c r="U26" s="32">
        <v>-3.7</v>
      </c>
      <c r="V26" s="32" t="s">
        <v>57</v>
      </c>
      <c r="W26" s="32">
        <v>10</v>
      </c>
      <c r="X26" s="32">
        <v>76</v>
      </c>
      <c r="Y26" s="32">
        <v>62</v>
      </c>
      <c r="AD26" s="32">
        <v>39</v>
      </c>
      <c r="AE26" s="32">
        <v>1.5</v>
      </c>
    </row>
    <row r="27" spans="2:31" x14ac:dyDescent="0.25">
      <c r="T27" s="32">
        <v>38</v>
      </c>
      <c r="U27" s="32">
        <v>-4</v>
      </c>
      <c r="V27" s="32" t="s">
        <v>57</v>
      </c>
      <c r="W27" s="32">
        <v>10</v>
      </c>
      <c r="X27" s="32">
        <v>77</v>
      </c>
      <c r="Y27" s="32">
        <v>63</v>
      </c>
      <c r="AD27" s="32">
        <v>41</v>
      </c>
      <c r="AE27" s="32">
        <v>0.9</v>
      </c>
    </row>
    <row r="28" spans="2:31" x14ac:dyDescent="0.25">
      <c r="T28" s="32">
        <v>42</v>
      </c>
      <c r="U28" s="32">
        <v>-4.3</v>
      </c>
      <c r="V28" s="32" t="s">
        <v>57</v>
      </c>
      <c r="W28" s="32">
        <v>10</v>
      </c>
      <c r="X28" s="32">
        <v>78</v>
      </c>
      <c r="Y28" s="32">
        <v>64</v>
      </c>
      <c r="AD28" s="32">
        <v>43</v>
      </c>
      <c r="AE28" s="32">
        <v>-0.5</v>
      </c>
    </row>
  </sheetData>
  <mergeCells count="16">
    <mergeCell ref="AD4:AE4"/>
    <mergeCell ref="AD20:AE20"/>
    <mergeCell ref="B5:G5"/>
    <mergeCell ref="B20:G20"/>
    <mergeCell ref="B3:Y3"/>
    <mergeCell ref="B18:Y18"/>
    <mergeCell ref="H5:M5"/>
    <mergeCell ref="H20:M20"/>
    <mergeCell ref="B4:M4"/>
    <mergeCell ref="B19:M19"/>
    <mergeCell ref="N19:Y19"/>
    <mergeCell ref="N20:S20"/>
    <mergeCell ref="T20:Y20"/>
    <mergeCell ref="N4:Y4"/>
    <mergeCell ref="T5:Y5"/>
    <mergeCell ref="N5:S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UW</vt:lpstr>
      <vt:lpstr>DW</vt:lpstr>
      <vt:lpstr>System</vt:lpstr>
      <vt:lpstr>DW!Foil</vt:lpstr>
      <vt:lpstr>Foil</vt:lpstr>
      <vt:lpstr>DW!Rudder</vt:lpstr>
      <vt:lpstr>Rudder</vt:lpstr>
      <vt:lpstr>DW!State</vt:lpstr>
      <vt:lpstr>State</vt:lpstr>
      <vt:lpstr>DW!Wing</vt:lpstr>
      <vt:lpstr>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Delcourt</dc:creator>
  <cp:lastModifiedBy>Lucas Delcourt</cp:lastModifiedBy>
  <dcterms:created xsi:type="dcterms:W3CDTF">2025-12-05T08:12:32Z</dcterms:created>
  <dcterms:modified xsi:type="dcterms:W3CDTF">2026-05-28T15:52:26Z</dcterms:modified>
</cp:coreProperties>
</file>